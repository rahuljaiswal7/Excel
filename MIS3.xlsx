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Rahul Kumar Jaiswal\Desktop\Excel\"/>
    </mc:Choice>
  </mc:AlternateContent>
  <xr:revisionPtr revIDLastSave="0" documentId="13_ncr:1_{FDB7A1DF-2059-4AAF-9DF0-39C09A043B14}" xr6:coauthVersionLast="47" xr6:coauthVersionMax="47" xr10:uidLastSave="{00000000-0000-0000-0000-000000000000}"/>
  <bookViews>
    <workbookView xWindow="-108" yWindow="-108" windowWidth="23256" windowHeight="12456" xr2:uid="{A09BA361-6F2B-4785-B184-86CC2AA922CE}"/>
  </bookViews>
  <sheets>
    <sheet name="Sheet1" sheetId="1" r:id="rId1"/>
  </sheets>
  <definedNames>
    <definedName name="Slicer_Department">#N/A</definedName>
    <definedName name="Slicer_Region">#N/A</definedName>
  </definedNames>
  <calcPr calcId="191029"/>
  <pivotCaches>
    <pivotCache cacheId="6"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1" i="1" l="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<sst xmlns="http://schemas.openxmlformats.org/spreadsheetml/2006/main" count="171" uniqueCount="69">
  <si>
    <t>Date</t>
  </si>
  <si>
    <t>Salesman</t>
  </si>
  <si>
    <t>Region</t>
  </si>
  <si>
    <t>Department</t>
  </si>
  <si>
    <t>Sales</t>
  </si>
  <si>
    <t>Sales Status</t>
  </si>
  <si>
    <t>Amit</t>
  </si>
  <si>
    <t>North</t>
  </si>
  <si>
    <t>Electronics</t>
  </si>
  <si>
    <t>Rahul</t>
  </si>
  <si>
    <t>East</t>
  </si>
  <si>
    <t>Grocery</t>
  </si>
  <si>
    <t>Pooja</t>
  </si>
  <si>
    <t>West</t>
  </si>
  <si>
    <t>Clothing</t>
  </si>
  <si>
    <t>Neha</t>
  </si>
  <si>
    <t>South</t>
  </si>
  <si>
    <t>Rakesh</t>
  </si>
  <si>
    <t>Furniture</t>
  </si>
  <si>
    <t>Vikash</t>
  </si>
  <si>
    <t>Anjali</t>
  </si>
  <si>
    <t>Rohit</t>
  </si>
  <si>
    <t>Deepak</t>
  </si>
  <si>
    <t>Kiran</t>
  </si>
  <si>
    <t>Sunil</t>
  </si>
  <si>
    <t>Shweta</t>
  </si>
  <si>
    <t>Manoj</t>
  </si>
  <si>
    <t>Abhishek</t>
  </si>
  <si>
    <t>Nisha</t>
  </si>
  <si>
    <t>Ajay</t>
  </si>
  <si>
    <t>Ritu</t>
  </si>
  <si>
    <t>Mohit</t>
  </si>
  <si>
    <t>Rajesh</t>
  </si>
  <si>
    <t>Pankaj</t>
  </si>
  <si>
    <t>Sonali</t>
  </si>
  <si>
    <t>Vivek</t>
  </si>
  <si>
    <t>Alok</t>
  </si>
  <si>
    <t>Kavita</t>
  </si>
  <si>
    <t>Rohan</t>
  </si>
  <si>
    <t>Meena</t>
  </si>
  <si>
    <t>Sandeep</t>
  </si>
  <si>
    <t>Payal</t>
  </si>
  <si>
    <t>Prakash</t>
  </si>
  <si>
    <t>Akash</t>
  </si>
  <si>
    <t>Simran</t>
  </si>
  <si>
    <t>Tarun</t>
  </si>
  <si>
    <t>Muskan</t>
  </si>
  <si>
    <t>Harsh</t>
  </si>
  <si>
    <t>Satyam</t>
  </si>
  <si>
    <t>Sneha</t>
  </si>
  <si>
    <t>Gaurav</t>
  </si>
  <si>
    <t>Priti</t>
  </si>
  <si>
    <t>Dinesh</t>
  </si>
  <si>
    <t>Aarti</t>
  </si>
  <si>
    <t>Manish</t>
  </si>
  <si>
    <t>Jyoti</t>
  </si>
  <si>
    <t>Naveen</t>
  </si>
  <si>
    <t>Komal</t>
  </si>
  <si>
    <t>Suraj</t>
  </si>
  <si>
    <t>Bhavna</t>
  </si>
  <si>
    <t>Kapil</t>
  </si>
  <si>
    <t>Ashok</t>
  </si>
  <si>
    <t>Kunal</t>
  </si>
  <si>
    <t>Ramesh</t>
  </si>
  <si>
    <t>Row Labels</t>
  </si>
  <si>
    <t>Grand Total</t>
  </si>
  <si>
    <t>Sum of Sales</t>
  </si>
  <si>
    <t xml:space="preserve"> Sales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</si>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</sst>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15" fontId="0" fillId="0" borderId="4" xfId="0" applyNumberFormat="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15" fontId="0" fillId="0" borderId="7" xfId="0" applyNumberForma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1">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mmm\-yy"/>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[MIS3.xlsx]Sheet1!PivotTable1</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Sheet1!$I$3:$I$7</c:f>
              <c:strCache>
                <c:ptCount val="4"/>
                <c:pt idx="0">
                  <c:v>East</c:v>
                </c:pt>
                <c:pt idx="1">
                  <c:v>North</c:v>
                </c:pt>
                <c:pt idx="2">
                  <c:v>South</c:v>
                </c:pt>
                <c:pt idx="3">
                  <c:v>West</c:v>
                </c:pt>
              </c:strCache>
            </c:strRef>
          </c:cat>
          <c:val>
            <c:numRef>
              <c:f>Sheet1!$J$3:$J$7</c:f>
              <c:numCache>
                <c:formatCode>General</c:formatCode>
                <c:ptCount val="4"/>
                <c:pt idx="0">
                  <c:v>567000</c:v>
                </c:pt>
                <c:pt idx="1">
                  <c:v>607500</c:v>
                </c:pt>
                <c:pt idx="2">
                  <c:v>549000</c:v>
                </c:pt>
                <c:pt idx="3">
                  <c:v>410000</c:v>
                </c:pt>
              </c:numCache>
            </c:numRef>
          </c:val>
          <c:extLst>
            <c:ext xmlns:c16="http://schemas.microsoft.com/office/drawing/2014/chart" uri="{C3380CC4-5D6E-409C-BE32-E72D297353CC}">
              <c16:uniqueId val="{00000000-2974-4E19-A7E6-8E37F6FD1D38}"/>
            </c:ext>
          </c:extLst>
        </c:ser>
        <c:dLbls>
          <c:dLblPos val="inEnd"/>
          <c:showLegendKey val="0"/>
          <c:showVal val="1"/>
          <c:showCatName val="0"/>
          <c:showSerName val="0"/>
          <c:showPercent val="0"/>
          <c:showBubbleSize val="0"/>
        </c:dLbls>
        <c:gapWidth val="41"/>
        <c:axId val="844482319"/>
        <c:axId val="844483279"/>
      </c:barChart>
      <c:catAx>
        <c:axId val="84448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44483279"/>
        <c:crosses val="autoZero"/>
        <c:auto val="1"/>
        <c:lblAlgn val="ctr"/>
        <c:lblOffset val="100"/>
        <c:noMultiLvlLbl val="0"/>
      </c:catAx>
      <c:valAx>
        <c:axId val="844483279"/>
        <c:scaling>
          <c:orientation val="minMax"/>
        </c:scaling>
        <c:delete val="1"/>
        <c:axPos val="l"/>
        <c:numFmt formatCode="General" sourceLinked="1"/>
        <c:majorTickMark val="none"/>
        <c:minorTickMark val="none"/>
        <c:tickLblPos val="nextTo"/>
        <c:crossAx val="84448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[MIS3.xlsx]Sheet1!PivotTable2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Sheet1!$I$16:$I$20</c:f>
              <c:strCache>
                <c:ptCount val="4"/>
                <c:pt idx="0">
                  <c:v>Clothing</c:v>
                </c:pt>
                <c:pt idx="1">
                  <c:v>Electronics</c:v>
                </c:pt>
                <c:pt idx="2">
                  <c:v>Furniture</c:v>
                </c:pt>
                <c:pt idx="3">
                  <c:v>Grocery</c:v>
                </c:pt>
              </c:strCache>
            </c:strRef>
          </c:cat>
          <c:val>
            <c:numRef>
              <c:f>Sheet1!$J$16:$J$20</c:f>
              <c:numCache>
                <c:formatCode>General</c:formatCode>
                <c:ptCount val="4"/>
                <c:pt idx="0">
                  <c:v>454500</c:v>
                </c:pt>
                <c:pt idx="1">
                  <c:v>776000</c:v>
                </c:pt>
                <c:pt idx="2">
                  <c:v>517500</c:v>
                </c:pt>
                <c:pt idx="3">
                  <c:v>385500</c:v>
                </c:pt>
              </c:numCache>
            </c:numRef>
          </c:val>
          <c:extLst>
            <c:ext xmlns:c16="http://schemas.microsoft.com/office/drawing/2014/chart" uri="{C3380CC4-5D6E-409C-BE32-E72D297353CC}">
              <c16:uniqueId val="{00000000-B599-4DAA-9DCC-15E39A96B78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53340</xdr:colOff>
      <xdr:row>0</xdr:row>
      <xdr:rowOff>102870</xdr:rowOff>
    </xdr:from>
    <xdr:to>
      <xdr:col>19</xdr:col>
      <xdr:colOff>358140</xdr:colOff>
      <xdr:row>14</xdr:row>
      <xdr:rowOff>102870</xdr:rowOff>
    </xdr:to>
    <xdr:graphicFrame macro="">
      <xdr:nvGraphicFramePr>
        <xdr:cNvPr id="2" name="Chart 1">
          <a:extLst>
            <a:ext uri="{FF2B5EF4-FFF2-40B4-BE49-F238E27FC236}">
              <a16:creationId xmlns:a16="http://schemas.microsoft.com/office/drawing/2014/main" id="{122380CE-7DE7-149F-4B3A-D18ED4766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586740</xdr:colOff>
      <xdr:row>14</xdr:row>
      <xdr:rowOff>95250</xdr:rowOff>
    </xdr:from>
    <xdr:to>
      <xdr:col>19</xdr:col>
      <xdr:colOff>281940</xdr:colOff>
      <xdr:row>29</xdr:row>
      <xdr:rowOff>95250</xdr:rowOff>
    </xdr:to>
    <xdr:graphicFrame macro="">
      <xdr:nvGraphicFramePr>
        <xdr:cNvPr id="3" name="Chart 2">
          <a:extLst>
            <a:ext uri="{FF2B5EF4-FFF2-40B4-BE49-F238E27FC236}">
              <a16:creationId xmlns:a16="http://schemas.microsoft.com/office/drawing/2014/main" id="{B38A184A-4351-9098-0B91-92A809BB2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838200</xdr:colOff>
      <xdr:row>18</xdr:row>
      <xdr:rowOff>106680</xdr:rowOff>
    </xdr:from>
    <xdr:to>
      <xdr:col>11</xdr:col>
      <xdr:colOff>396240</xdr:colOff>
      <xdr:row>32</xdr:row>
      <xdr:rowOff>13335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4B8CE88-5650-A830-6E85-B5D2FE7B36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73240" y="3581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175260</xdr:colOff>
      <xdr:row>18</xdr:row>
      <xdr:rowOff>114300</xdr:rowOff>
    </xdr:from>
    <xdr:to>
      <xdr:col>8</xdr:col>
      <xdr:colOff>784860</xdr:colOff>
      <xdr:row>32</xdr:row>
      <xdr:rowOff>20955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45B1094C-0BBF-03A1-5596-21D5667C0F5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91100" y="3589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Kumar Jaiswal" refreshedDate="46102.23542326389" createdVersion="8" refreshedVersion="8" minRefreshableVersion="3" recordCount="50" xr:uid="{8C0A5EDF-9287-4BB0-A515-218CE8819F26}">
  <cacheSource type="worksheet">
    <worksheetSource name="Table13"/>
  </cacheSource>
  <cacheFields count="6">
    <cacheField name="Date" numFmtId="15">
      <sharedItems containsSemiMixedTypes="0" containsNonDate="0" containsDate="1" containsString="0" minDate="2024-03-01T00:00:00" maxDate="2024-04-20T00:00:00"/>
    </cacheField>
    <cacheField name="Salesman" numFmtId="0">
      <sharedItems/>
    </cacheField>
    <cacheField name="Region" numFmtId="0">
      <sharedItems count="4">
        <s v="North"/>
        <s v="East"/>
        <s v="West"/>
        <s v="South"/>
      </sharedItems>
    </cacheField>
    <cacheField name="Department" numFmtId="0">
      <sharedItems count="4">
        <s v="Electronics"/>
        <s v="Grocery"/>
        <s v="Clothing"/>
        <s v="Furniture"/>
      </sharedItems>
    </cacheField>
    <cacheField name="Sales" numFmtId="0">
      <sharedItems containsSemiMixedTypes="0" containsString="0" containsNumber="1" containsInteger="1" minValue="25500" maxValue="70000"/>
    </cacheField>
    <cacheField name="Sales Status" numFmtId="0">
      <sharedItems/>
    </cacheField>
  </cacheFields>
  <extLst>
    <ext xmlns:x14="http://schemas.microsoft.com/office/spreadsheetml/2009/9/main" uri="{725AE2AE-9491-48be-B2B4-4EB974FC3084}">
      <x14:pivotCacheDefinition pivotCacheId="1468124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4-03-01T00:00:00"/>
    <s v="Amit"/>
    <x v="0"/>
    <x v="0"/>
    <n v="55000"/>
    <s v="HIGH"/>
  </r>
  <r>
    <d v="2024-03-02T00:00:00"/>
    <s v="Rahul"/>
    <x v="1"/>
    <x v="1"/>
    <n v="32000"/>
    <s v="NORMAL"/>
  </r>
  <r>
    <d v="2024-03-03T00:00:00"/>
    <s v="Pooja"/>
    <x v="2"/>
    <x v="2"/>
    <n v="28000"/>
    <s v="NORMAL"/>
  </r>
  <r>
    <d v="2024-03-04T00:00:00"/>
    <s v="Neha"/>
    <x v="3"/>
    <x v="0"/>
    <n v="52000"/>
    <s v="HIGH"/>
  </r>
  <r>
    <d v="2024-03-05T00:00:00"/>
    <s v="Rakesh"/>
    <x v="0"/>
    <x v="3"/>
    <n v="61000"/>
    <s v="HIGH"/>
  </r>
  <r>
    <d v="2024-03-06T00:00:00"/>
    <s v="Vikash"/>
    <x v="1"/>
    <x v="1"/>
    <n v="39000"/>
    <s v="NORMAL"/>
  </r>
  <r>
    <d v="2024-03-07T00:00:00"/>
    <s v="Anjali"/>
    <x v="3"/>
    <x v="2"/>
    <n v="47000"/>
    <s v="NORMAL"/>
  </r>
  <r>
    <d v="2024-03-08T00:00:00"/>
    <s v="Rohit"/>
    <x v="2"/>
    <x v="0"/>
    <n v="55000"/>
    <s v="HIGH"/>
  </r>
  <r>
    <d v="2024-03-09T00:00:00"/>
    <s v="Deepak"/>
    <x v="0"/>
    <x v="3"/>
    <n v="26000"/>
    <s v="NORMAL"/>
  </r>
  <r>
    <d v="2024-03-10T00:00:00"/>
    <s v="Kiran"/>
    <x v="3"/>
    <x v="1"/>
    <n v="31000"/>
    <s v="NORMAL"/>
  </r>
  <r>
    <d v="2024-03-11T00:00:00"/>
    <s v="Sunil"/>
    <x v="1"/>
    <x v="0"/>
    <n v="48000"/>
    <s v="NORMAL"/>
  </r>
  <r>
    <d v="2024-03-12T00:00:00"/>
    <s v="Shweta"/>
    <x v="2"/>
    <x v="2"/>
    <n v="34000"/>
    <s v="NORMAL"/>
  </r>
  <r>
    <d v="2024-03-13T00:00:00"/>
    <s v="Manoj"/>
    <x v="3"/>
    <x v="3"/>
    <n v="42000"/>
    <s v="NORMAL"/>
  </r>
  <r>
    <d v="2024-03-14T00:00:00"/>
    <s v="Abhishek"/>
    <x v="0"/>
    <x v="0"/>
    <n v="70000"/>
    <s v="HIGH"/>
  </r>
  <r>
    <d v="2024-03-15T00:00:00"/>
    <s v="Nisha"/>
    <x v="2"/>
    <x v="1"/>
    <n v="29000"/>
    <s v="NORMAL"/>
  </r>
  <r>
    <d v="2024-03-16T00:00:00"/>
    <s v="Ajay"/>
    <x v="1"/>
    <x v="2"/>
    <n v="51000"/>
    <s v="HIGH"/>
  </r>
  <r>
    <d v="2024-03-17T00:00:00"/>
    <s v="Ritu"/>
    <x v="3"/>
    <x v="3"/>
    <n v="36000"/>
    <s v="NORMAL"/>
  </r>
  <r>
    <d v="2024-03-18T00:00:00"/>
    <s v="Mohit"/>
    <x v="0"/>
    <x v="0"/>
    <n v="62000"/>
    <s v="HIGH"/>
  </r>
  <r>
    <d v="2024-03-19T00:00:00"/>
    <s v="Rajesh"/>
    <x v="2"/>
    <x v="1"/>
    <n v="27000"/>
    <s v="NORMAL"/>
  </r>
  <r>
    <d v="2024-03-20T00:00:00"/>
    <s v="Pankaj"/>
    <x v="3"/>
    <x v="2"/>
    <n v="33000"/>
    <s v="NORMAL"/>
  </r>
  <r>
    <d v="2024-03-21T00:00:00"/>
    <s v="Sonali"/>
    <x v="1"/>
    <x v="0"/>
    <n v="54000"/>
    <s v="HIGH"/>
  </r>
  <r>
    <d v="2024-03-22T00:00:00"/>
    <s v="Vivek"/>
    <x v="0"/>
    <x v="3"/>
    <n v="46000"/>
    <s v="NORMAL"/>
  </r>
  <r>
    <d v="2024-03-23T00:00:00"/>
    <s v="Alok"/>
    <x v="3"/>
    <x v="1"/>
    <n v="30000"/>
    <s v="NORMAL"/>
  </r>
  <r>
    <d v="2024-03-24T00:00:00"/>
    <s v="Kavita"/>
    <x v="2"/>
    <x v="2"/>
    <n v="37000"/>
    <s v="NORMAL"/>
  </r>
  <r>
    <d v="2024-03-25T00:00:00"/>
    <s v="Rohan"/>
    <x v="1"/>
    <x v="0"/>
    <n v="58000"/>
    <s v="HIGH"/>
  </r>
  <r>
    <d v="2024-03-26T00:00:00"/>
    <s v="Meena"/>
    <x v="3"/>
    <x v="3"/>
    <n v="41000"/>
    <s v="NORMAL"/>
  </r>
  <r>
    <d v="2024-03-27T00:00:00"/>
    <s v="Sandeep"/>
    <x v="0"/>
    <x v="1"/>
    <n v="35000"/>
    <s v="NORMAL"/>
  </r>
  <r>
    <d v="2024-03-28T00:00:00"/>
    <s v="Payal"/>
    <x v="1"/>
    <x v="2"/>
    <n v="26000"/>
    <s v="NORMAL"/>
  </r>
  <r>
    <d v="2024-03-29T00:00:00"/>
    <s v="Prakash"/>
    <x v="2"/>
    <x v="0"/>
    <n v="49000"/>
    <s v="NORMAL"/>
  </r>
  <r>
    <d v="2024-03-30T00:00:00"/>
    <s v="Akash"/>
    <x v="3"/>
    <x v="3"/>
    <n v="44000"/>
    <s v="NORMAL"/>
  </r>
  <r>
    <d v="2024-03-31T00:00:00"/>
    <s v="Simran"/>
    <x v="0"/>
    <x v="1"/>
    <n v="38000"/>
    <s v="NORMAL"/>
  </r>
  <r>
    <d v="2024-04-01T00:00:00"/>
    <s v="Tarun"/>
    <x v="1"/>
    <x v="2"/>
    <n v="52000"/>
    <s v="HIGH"/>
  </r>
  <r>
    <d v="2024-04-02T00:00:00"/>
    <s v="Muskan"/>
    <x v="3"/>
    <x v="0"/>
    <n v="31000"/>
    <s v="NORMAL"/>
  </r>
  <r>
    <d v="2024-04-03T00:00:00"/>
    <s v="Harsh"/>
    <x v="2"/>
    <x v="3"/>
    <n v="57000"/>
    <s v="HIGH"/>
  </r>
  <r>
    <d v="2024-04-04T00:00:00"/>
    <s v="Satyam"/>
    <x v="1"/>
    <x v="1"/>
    <n v="29500"/>
    <s v="NORMAL"/>
  </r>
  <r>
    <d v="2024-04-05T00:00:00"/>
    <s v="Sneha"/>
    <x v="0"/>
    <x v="2"/>
    <n v="46500"/>
    <s v="NORMAL"/>
  </r>
  <r>
    <d v="2024-04-06T00:00:00"/>
    <s v="Gaurav"/>
    <x v="3"/>
    <x v="0"/>
    <n v="61000"/>
    <s v="HIGH"/>
  </r>
  <r>
    <d v="2024-04-07T00:00:00"/>
    <s v="Priti"/>
    <x v="1"/>
    <x v="3"/>
    <n v="35500"/>
    <s v="NORMAL"/>
  </r>
  <r>
    <d v="2024-04-08T00:00:00"/>
    <s v="Dinesh"/>
    <x v="2"/>
    <x v="1"/>
    <n v="27500"/>
    <s v="NORMAL"/>
  </r>
  <r>
    <d v="2024-04-09T00:00:00"/>
    <s v="Aarti"/>
    <x v="3"/>
    <x v="2"/>
    <n v="33500"/>
    <s v="NORMAL"/>
  </r>
  <r>
    <d v="2024-04-10T00:00:00"/>
    <s v="Manish"/>
    <x v="0"/>
    <x v="0"/>
    <n v="68000"/>
    <s v="HIGH"/>
  </r>
  <r>
    <d v="2024-04-11T00:00:00"/>
    <s v="Jyoti"/>
    <x v="1"/>
    <x v="3"/>
    <n v="43000"/>
    <s v="NORMAL"/>
  </r>
  <r>
    <d v="2024-04-12T00:00:00"/>
    <s v="Naveen"/>
    <x v="3"/>
    <x v="1"/>
    <n v="31500"/>
    <s v="NORMAL"/>
  </r>
  <r>
    <d v="2024-04-13T00:00:00"/>
    <s v="Komal"/>
    <x v="2"/>
    <x v="2"/>
    <n v="25500"/>
    <s v="NORMAL"/>
  </r>
  <r>
    <d v="2024-04-14T00:00:00"/>
    <s v="Suraj"/>
    <x v="1"/>
    <x v="0"/>
    <n v="60000"/>
    <s v="HIGH"/>
  </r>
  <r>
    <d v="2024-04-15T00:00:00"/>
    <s v="Bhavna"/>
    <x v="0"/>
    <x v="3"/>
    <n v="47000"/>
    <s v="NORMAL"/>
  </r>
  <r>
    <d v="2024-04-16T00:00:00"/>
    <s v="Kapil"/>
    <x v="3"/>
    <x v="1"/>
    <n v="36000"/>
    <s v="NORMAL"/>
  </r>
  <r>
    <d v="2024-04-17T00:00:00"/>
    <s v="Ashok"/>
    <x v="2"/>
    <x v="2"/>
    <n v="41000"/>
    <s v="NORMAL"/>
  </r>
  <r>
    <d v="2024-04-18T00:00:00"/>
    <s v="Kunal"/>
    <x v="0"/>
    <x v="0"/>
    <n v="53000"/>
    <s v="HIGH"/>
  </r>
  <r>
    <d v="2024-04-19T00:00:00"/>
    <s v="Ramesh"/>
    <x v="1"/>
    <x v="3"/>
    <n v="3900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CA768-6875-43B2-B353-ABF68E374DF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5:J20" firstHeaderRow="1" firstDataRow="1" firstDataCol="1"/>
  <pivotFields count="6">
    <pivotField numFmtId="15" showAll="0"/>
    <pivotField showAll="0"/>
    <pivotField showAll="0"/>
    <pivotField axis="axisRow" showAll="0">
      <items count="5">
        <item x="2"/>
        <item x="0"/>
        <item x="3"/>
        <item x="1"/>
        <item t="default"/>
      </items>
    </pivotField>
    <pivotField dataField="1" showAll="0"/>
    <pivotField showAll="0"/>
  </pivotFields>
  <rowFields count="1">
    <field x="3"/>
  </rowFields>
  <rowItems count="5">
    <i>
      <x/>
    </i>
    <i>
      <x v="1"/>
    </i>
    <i>
      <x v="2"/>
    </i>
    <i>
      <x v="3"/>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F285E-8562-439F-9FD4-8B4EC17FA5D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I2:J7" firstHeaderRow="1" firstDataRow="1" firstDataCol="1"/>
  <pivotFields count="6">
    <pivotField numFmtId="15" showAll="0"/>
    <pivotField showAll="0"/>
    <pivotField axis="axisRow" showAll="0">
      <items count="5">
        <item x="1"/>
        <item x="0"/>
        <item x="3"/>
        <item x="2"/>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 Sales" fld="4"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07349-4258-4A82-A617-C93847B16EB4}" sourceName="Region">
  <pivotTables>
    <pivotTable tabId="1" name="PivotTable1"/>
  </pivotTables>
  <data>
    <tabular pivotCacheId="1468124203">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CFB1F5-92B0-4FAE-98F4-A4F21F0DFBB0}" sourceName="Department">
  <pivotTables>
    <pivotTable tabId="1" name="PivotTable2"/>
  </pivotTables>
  <data>
    <tabular pivotCacheId="1468124203">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9D58A9-07CB-4430-8204-FA9946AECB36}" cache="Slicer_Region" caption="Region" rowHeight="234950"/>
  <slicer name="Department" xr10:uid="{D5398047-EB22-4718-AABD-646D8D778B4E}"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AE794-D9D3-4032-A928-3FC875E693F1}" name="Table13" displayName="Table13" ref="A1:F51" totalsRowShown="0" headerRowDxfId="10" dataDxfId="9" headerRowBorderDxfId="7" tableBorderDxfId="8" totalsRowBorderDxfId="6">
  <autoFilter ref="A1:F51" xr:uid="{D41AE794-D9D3-4032-A928-3FC875E693F1}"/>
  <tableColumns count="6">
    <tableColumn id="1" xr3:uid="{7FA150B6-1215-4C07-AEFE-E577B4BE2BE0}" name="Date" dataDxfId="5"/>
    <tableColumn id="2" xr3:uid="{D2F11132-F13F-4732-94ED-4997B5217711}" name="Salesman" dataDxfId="4"/>
    <tableColumn id="3" xr3:uid="{C3D89CBE-1FF3-4BD0-9053-D60121847E64}" name="Region" dataDxfId="3"/>
    <tableColumn id="4" xr3:uid="{C48B87C6-7815-454B-8169-26C849D83BE1}" name="Department" dataDxfId="2"/>
    <tableColumn id="5" xr3:uid="{8B7EEEA1-7ABB-4355-B513-01A0E2EBBCD9}" name="Sales" dataDxfId="1"/>
    <tableColumn id="6" xr3:uid="{B2F48B1B-9ED4-47DC-865A-F74E162FDB02}" name="Sales Status" dataDxfId="0">
      <calculatedColumnFormula>IF(Table13[[#This Row],[Sales]]&gt;50000,"HIGH","NORMAL")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F6B5-220A-457B-AD1D-A969A9605A58}">
  <dimension ref="A1:L51"/>
  <sheetViews>
    <sheetView tabSelected="1" topLeftCell="A16" workbookViewId="0">
      <selection activeCell="L39" sqref="L39"/>
    </sheetView>
  </sheetViews>
  <sheetFormatPr defaultRowHeight="14.4" x14ac:dyDescent="0.3"/>
  <cols>
    <col min="1" max="1" width="9.6640625" bestFit="1" customWidth="1"/>
    <col min="2" max="2" width="13.44140625" bestFit="1" customWidth="1"/>
    <col min="3" max="3" width="11.21875" bestFit="1" customWidth="1"/>
    <col min="4" max="4" width="15.5546875" bestFit="1" customWidth="1"/>
    <col min="5" max="5" width="9.6640625" bestFit="1" customWidth="1"/>
    <col min="6" max="6" width="10.6640625" bestFit="1" customWidth="1"/>
    <col min="9" max="9" width="12.5546875" bestFit="1" customWidth="1"/>
    <col min="10" max="10" width="11.6640625" bestFit="1" customWidth="1"/>
  </cols>
  <sheetData>
    <row r="1" spans="1:10" ht="28.8" x14ac:dyDescent="0.3">
      <c r="A1" s="1" t="s">
        <v>0</v>
      </c>
      <c r="B1" s="2" t="s">
        <v>1</v>
      </c>
      <c r="C1" s="2" t="s">
        <v>2</v>
      </c>
      <c r="D1" s="2" t="s">
        <v>3</v>
      </c>
      <c r="E1" s="3" t="s">
        <v>4</v>
      </c>
      <c r="F1" s="2" t="s">
        <v>5</v>
      </c>
    </row>
    <row r="2" spans="1:10" x14ac:dyDescent="0.3">
      <c r="A2" s="4">
        <v>45352</v>
      </c>
      <c r="B2" s="5" t="s">
        <v>6</v>
      </c>
      <c r="C2" s="5" t="s">
        <v>7</v>
      </c>
      <c r="D2" s="5" t="s">
        <v>8</v>
      </c>
      <c r="E2" s="6">
        <v>55000</v>
      </c>
      <c r="F2" s="7" t="str">
        <f>IF(Table13[[#This Row],[Sales]]&gt;50000,"HIGH","NORMAL")</f>
        <v>HIGH</v>
      </c>
      <c r="I2" s="11" t="s">
        <v>2</v>
      </c>
      <c r="J2" t="s">
        <v>67</v>
      </c>
    </row>
    <row r="3" spans="1:10" x14ac:dyDescent="0.3">
      <c r="A3" s="4">
        <v>45353</v>
      </c>
      <c r="B3" s="5" t="s">
        <v>9</v>
      </c>
      <c r="C3" s="5" t="s">
        <v>10</v>
      </c>
      <c r="D3" s="5" t="s">
        <v>11</v>
      </c>
      <c r="E3" s="6">
        <v>32000</v>
      </c>
      <c r="F3" s="5" t="str">
        <f>IF(Table13[[#This Row],[Sales]]&gt;50000,"HIGH","NORMAL")</f>
        <v>NORMAL</v>
      </c>
      <c r="I3" s="12" t="s">
        <v>10</v>
      </c>
      <c r="J3" s="13">
        <v>567000</v>
      </c>
    </row>
    <row r="4" spans="1:10" x14ac:dyDescent="0.3">
      <c r="A4" s="4">
        <v>45354</v>
      </c>
      <c r="B4" s="5" t="s">
        <v>12</v>
      </c>
      <c r="C4" s="5" t="s">
        <v>13</v>
      </c>
      <c r="D4" s="5" t="s">
        <v>14</v>
      </c>
      <c r="E4" s="6">
        <v>28000</v>
      </c>
      <c r="F4" s="5" t="str">
        <f>IF(Table13[[#This Row],[Sales]]&gt;50000,"HIGH","NORMAL")</f>
        <v>NORMAL</v>
      </c>
      <c r="I4" s="12" t="s">
        <v>7</v>
      </c>
      <c r="J4" s="13">
        <v>607500</v>
      </c>
    </row>
    <row r="5" spans="1:10" x14ac:dyDescent="0.3">
      <c r="A5" s="4">
        <v>45355</v>
      </c>
      <c r="B5" s="5" t="s">
        <v>15</v>
      </c>
      <c r="C5" s="5" t="s">
        <v>16</v>
      </c>
      <c r="D5" s="5" t="s">
        <v>8</v>
      </c>
      <c r="E5" s="6">
        <v>52000</v>
      </c>
      <c r="F5" s="5" t="str">
        <f>IF(Table13[[#This Row],[Sales]]&gt;50000,"HIGH","NORMAL")</f>
        <v>HIGH</v>
      </c>
      <c r="I5" s="12" t="s">
        <v>16</v>
      </c>
      <c r="J5" s="13">
        <v>549000</v>
      </c>
    </row>
    <row r="6" spans="1:10" x14ac:dyDescent="0.3">
      <c r="A6" s="4">
        <v>45356</v>
      </c>
      <c r="B6" s="5" t="s">
        <v>17</v>
      </c>
      <c r="C6" s="5" t="s">
        <v>7</v>
      </c>
      <c r="D6" s="5" t="s">
        <v>18</v>
      </c>
      <c r="E6" s="6">
        <v>61000</v>
      </c>
      <c r="F6" s="5" t="str">
        <f>IF(Table13[[#This Row],[Sales]]&gt;50000,"HIGH","NORMAL")</f>
        <v>HIGH</v>
      </c>
      <c r="I6" s="12" t="s">
        <v>13</v>
      </c>
      <c r="J6" s="13">
        <v>410000</v>
      </c>
    </row>
    <row r="7" spans="1:10" x14ac:dyDescent="0.3">
      <c r="A7" s="4">
        <v>45357</v>
      </c>
      <c r="B7" s="5" t="s">
        <v>19</v>
      </c>
      <c r="C7" s="5" t="s">
        <v>10</v>
      </c>
      <c r="D7" s="5" t="s">
        <v>11</v>
      </c>
      <c r="E7" s="6">
        <v>39000</v>
      </c>
      <c r="F7" s="5" t="str">
        <f>IF(Table13[[#This Row],[Sales]]&gt;50000,"HIGH","NORMAL")</f>
        <v>NORMAL</v>
      </c>
      <c r="I7" s="12" t="s">
        <v>65</v>
      </c>
      <c r="J7" s="13">
        <v>2133500</v>
      </c>
    </row>
    <row r="8" spans="1:10" x14ac:dyDescent="0.3">
      <c r="A8" s="4">
        <v>45358</v>
      </c>
      <c r="B8" s="5" t="s">
        <v>20</v>
      </c>
      <c r="C8" s="5" t="s">
        <v>16</v>
      </c>
      <c r="D8" s="5" t="s">
        <v>14</v>
      </c>
      <c r="E8" s="6">
        <v>47000</v>
      </c>
      <c r="F8" s="5" t="str">
        <f>IF(Table13[[#This Row],[Sales]]&gt;50000,"HIGH","NORMAL")</f>
        <v>NORMAL</v>
      </c>
    </row>
    <row r="9" spans="1:10" x14ac:dyDescent="0.3">
      <c r="A9" s="4">
        <v>45359</v>
      </c>
      <c r="B9" s="5" t="s">
        <v>21</v>
      </c>
      <c r="C9" s="5" t="s">
        <v>13</v>
      </c>
      <c r="D9" s="5" t="s">
        <v>8</v>
      </c>
      <c r="E9" s="6">
        <v>55000</v>
      </c>
      <c r="F9" s="5" t="str">
        <f>IF(Table13[[#This Row],[Sales]]&gt;50000,"HIGH","NORMAL")</f>
        <v>HIGH</v>
      </c>
    </row>
    <row r="10" spans="1:10" x14ac:dyDescent="0.3">
      <c r="A10" s="4">
        <v>45360</v>
      </c>
      <c r="B10" s="5" t="s">
        <v>22</v>
      </c>
      <c r="C10" s="5" t="s">
        <v>7</v>
      </c>
      <c r="D10" s="5" t="s">
        <v>18</v>
      </c>
      <c r="E10" s="6">
        <v>26000</v>
      </c>
      <c r="F10" s="5" t="str">
        <f>IF(Table13[[#This Row],[Sales]]&gt;50000,"HIGH","NORMAL")</f>
        <v>NORMAL</v>
      </c>
    </row>
    <row r="11" spans="1:10" x14ac:dyDescent="0.3">
      <c r="A11" s="4">
        <v>45361</v>
      </c>
      <c r="B11" s="5" t="s">
        <v>23</v>
      </c>
      <c r="C11" s="5" t="s">
        <v>16</v>
      </c>
      <c r="D11" s="5" t="s">
        <v>11</v>
      </c>
      <c r="E11" s="6">
        <v>31000</v>
      </c>
      <c r="F11" s="5" t="str">
        <f>IF(Table13[[#This Row],[Sales]]&gt;50000,"HIGH","NORMAL")</f>
        <v>NORMAL</v>
      </c>
    </row>
    <row r="12" spans="1:10" x14ac:dyDescent="0.3">
      <c r="A12" s="4">
        <v>45362</v>
      </c>
      <c r="B12" s="5" t="s">
        <v>24</v>
      </c>
      <c r="C12" s="5" t="s">
        <v>10</v>
      </c>
      <c r="D12" s="5" t="s">
        <v>8</v>
      </c>
      <c r="E12" s="6">
        <v>48000</v>
      </c>
      <c r="F12" s="5" t="str">
        <f>IF(Table13[[#This Row],[Sales]]&gt;50000,"HIGH","NORMAL")</f>
        <v>NORMAL</v>
      </c>
    </row>
    <row r="13" spans="1:10" x14ac:dyDescent="0.3">
      <c r="A13" s="4">
        <v>45363</v>
      </c>
      <c r="B13" s="5" t="s">
        <v>25</v>
      </c>
      <c r="C13" s="5" t="s">
        <v>13</v>
      </c>
      <c r="D13" s="5" t="s">
        <v>14</v>
      </c>
      <c r="E13" s="6">
        <v>34000</v>
      </c>
      <c r="F13" s="5" t="str">
        <f>IF(Table13[[#This Row],[Sales]]&gt;50000,"HIGH","NORMAL")</f>
        <v>NORMAL</v>
      </c>
    </row>
    <row r="14" spans="1:10" x14ac:dyDescent="0.3">
      <c r="A14" s="4">
        <v>45364</v>
      </c>
      <c r="B14" s="5" t="s">
        <v>26</v>
      </c>
      <c r="C14" s="5" t="s">
        <v>16</v>
      </c>
      <c r="D14" s="5" t="s">
        <v>18</v>
      </c>
      <c r="E14" s="6">
        <v>42000</v>
      </c>
      <c r="F14" s="5" t="str">
        <f>IF(Table13[[#This Row],[Sales]]&gt;50000,"HIGH","NORMAL")</f>
        <v>NORMAL</v>
      </c>
    </row>
    <row r="15" spans="1:10" x14ac:dyDescent="0.3">
      <c r="A15" s="4">
        <v>45365</v>
      </c>
      <c r="B15" s="5" t="s">
        <v>27</v>
      </c>
      <c r="C15" s="5" t="s">
        <v>7</v>
      </c>
      <c r="D15" s="5" t="s">
        <v>8</v>
      </c>
      <c r="E15" s="6">
        <v>70000</v>
      </c>
      <c r="F15" s="5" t="str">
        <f>IF(Table13[[#This Row],[Sales]]&gt;50000,"HIGH","NORMAL")</f>
        <v>HIGH</v>
      </c>
      <c r="I15" s="11" t="s">
        <v>64</v>
      </c>
      <c r="J15" t="s">
        <v>66</v>
      </c>
    </row>
    <row r="16" spans="1:10" x14ac:dyDescent="0.3">
      <c r="A16" s="4">
        <v>45366</v>
      </c>
      <c r="B16" s="5" t="s">
        <v>28</v>
      </c>
      <c r="C16" s="5" t="s">
        <v>13</v>
      </c>
      <c r="D16" s="5" t="s">
        <v>11</v>
      </c>
      <c r="E16" s="6">
        <v>29000</v>
      </c>
      <c r="F16" s="5" t="str">
        <f>IF(Table13[[#This Row],[Sales]]&gt;50000,"HIGH","NORMAL")</f>
        <v>NORMAL</v>
      </c>
      <c r="I16" s="12" t="s">
        <v>14</v>
      </c>
      <c r="J16" s="13">
        <v>454500</v>
      </c>
    </row>
    <row r="17" spans="1:10" x14ac:dyDescent="0.3">
      <c r="A17" s="4">
        <v>45367</v>
      </c>
      <c r="B17" s="5" t="s">
        <v>29</v>
      </c>
      <c r="C17" s="5" t="s">
        <v>10</v>
      </c>
      <c r="D17" s="5" t="s">
        <v>14</v>
      </c>
      <c r="E17" s="6">
        <v>51000</v>
      </c>
      <c r="F17" s="5" t="str">
        <f>IF(Table13[[#This Row],[Sales]]&gt;50000,"HIGH","NORMAL")</f>
        <v>HIGH</v>
      </c>
      <c r="I17" s="12" t="s">
        <v>8</v>
      </c>
      <c r="J17" s="13">
        <v>776000</v>
      </c>
    </row>
    <row r="18" spans="1:10" x14ac:dyDescent="0.3">
      <c r="A18" s="4">
        <v>45368</v>
      </c>
      <c r="B18" s="5" t="s">
        <v>30</v>
      </c>
      <c r="C18" s="5" t="s">
        <v>16</v>
      </c>
      <c r="D18" s="5" t="s">
        <v>18</v>
      </c>
      <c r="E18" s="6">
        <v>36000</v>
      </c>
      <c r="F18" s="5" t="str">
        <f>IF(Table13[[#This Row],[Sales]]&gt;50000,"HIGH","NORMAL")</f>
        <v>NORMAL</v>
      </c>
      <c r="I18" s="12" t="s">
        <v>18</v>
      </c>
      <c r="J18" s="13">
        <v>517500</v>
      </c>
    </row>
    <row r="19" spans="1:10" x14ac:dyDescent="0.3">
      <c r="A19" s="4">
        <v>45369</v>
      </c>
      <c r="B19" s="5" t="s">
        <v>31</v>
      </c>
      <c r="C19" s="5" t="s">
        <v>7</v>
      </c>
      <c r="D19" s="5" t="s">
        <v>8</v>
      </c>
      <c r="E19" s="6">
        <v>62000</v>
      </c>
      <c r="F19" s="5" t="str">
        <f>IF(Table13[[#This Row],[Sales]]&gt;50000,"HIGH","NORMAL")</f>
        <v>HIGH</v>
      </c>
      <c r="I19" s="12" t="s">
        <v>11</v>
      </c>
      <c r="J19" s="13">
        <v>385500</v>
      </c>
    </row>
    <row r="20" spans="1:10" x14ac:dyDescent="0.3">
      <c r="A20" s="4">
        <v>45370</v>
      </c>
      <c r="B20" s="5" t="s">
        <v>32</v>
      </c>
      <c r="C20" s="5" t="s">
        <v>13</v>
      </c>
      <c r="D20" s="5" t="s">
        <v>11</v>
      </c>
      <c r="E20" s="6">
        <v>27000</v>
      </c>
      <c r="F20" s="5" t="str">
        <f>IF(Table13[[#This Row],[Sales]]&gt;50000,"HIGH","NORMAL")</f>
        <v>NORMAL</v>
      </c>
      <c r="I20" s="12" t="s">
        <v>65</v>
      </c>
      <c r="J20" s="13">
        <v>2133500</v>
      </c>
    </row>
    <row r="21" spans="1:10" x14ac:dyDescent="0.3">
      <c r="A21" s="4">
        <v>45371</v>
      </c>
      <c r="B21" s="5" t="s">
        <v>33</v>
      </c>
      <c r="C21" s="5" t="s">
        <v>16</v>
      </c>
      <c r="D21" s="5" t="s">
        <v>14</v>
      </c>
      <c r="E21" s="6">
        <v>33000</v>
      </c>
      <c r="F21" s="5" t="str">
        <f>IF(Table13[[#This Row],[Sales]]&gt;50000,"HIGH","NORMAL")</f>
        <v>NORMAL</v>
      </c>
    </row>
    <row r="22" spans="1:10" x14ac:dyDescent="0.3">
      <c r="A22" s="4">
        <v>45372</v>
      </c>
      <c r="B22" s="5" t="s">
        <v>34</v>
      </c>
      <c r="C22" s="5" t="s">
        <v>10</v>
      </c>
      <c r="D22" s="5" t="s">
        <v>8</v>
      </c>
      <c r="E22" s="6">
        <v>54000</v>
      </c>
      <c r="F22" s="5" t="str">
        <f>IF(Table13[[#This Row],[Sales]]&gt;50000,"HIGH","NORMAL")</f>
        <v>HIGH</v>
      </c>
    </row>
    <row r="23" spans="1:10" x14ac:dyDescent="0.3">
      <c r="A23" s="4">
        <v>45373</v>
      </c>
      <c r="B23" s="5" t="s">
        <v>35</v>
      </c>
      <c r="C23" s="5" t="s">
        <v>7</v>
      </c>
      <c r="D23" s="5" t="s">
        <v>18</v>
      </c>
      <c r="E23" s="6">
        <v>46000</v>
      </c>
      <c r="F23" s="5" t="str">
        <f>IF(Table13[[#This Row],[Sales]]&gt;50000,"HIGH","NORMAL")</f>
        <v>NORMAL</v>
      </c>
    </row>
    <row r="24" spans="1:10" x14ac:dyDescent="0.3">
      <c r="A24" s="4">
        <v>45374</v>
      </c>
      <c r="B24" s="5" t="s">
        <v>36</v>
      </c>
      <c r="C24" s="5" t="s">
        <v>16</v>
      </c>
      <c r="D24" s="5" t="s">
        <v>11</v>
      </c>
      <c r="E24" s="6">
        <v>30000</v>
      </c>
      <c r="F24" s="5" t="str">
        <f>IF(Table13[[#This Row],[Sales]]&gt;50000,"HIGH","NORMAL")</f>
        <v>NORMAL</v>
      </c>
    </row>
    <row r="25" spans="1:10" x14ac:dyDescent="0.3">
      <c r="A25" s="4">
        <v>45375</v>
      </c>
      <c r="B25" s="5" t="s">
        <v>37</v>
      </c>
      <c r="C25" s="5" t="s">
        <v>13</v>
      </c>
      <c r="D25" s="5" t="s">
        <v>14</v>
      </c>
      <c r="E25" s="6">
        <v>37000</v>
      </c>
      <c r="F25" s="5" t="str">
        <f>IF(Table13[[#This Row],[Sales]]&gt;50000,"HIGH","NORMAL")</f>
        <v>NORMAL</v>
      </c>
    </row>
    <row r="26" spans="1:10" x14ac:dyDescent="0.3">
      <c r="A26" s="4">
        <v>45376</v>
      </c>
      <c r="B26" s="5" t="s">
        <v>38</v>
      </c>
      <c r="C26" s="5" t="s">
        <v>10</v>
      </c>
      <c r="D26" s="5" t="s">
        <v>8</v>
      </c>
      <c r="E26" s="6">
        <v>58000</v>
      </c>
      <c r="F26" s="5" t="str">
        <f>IF(Table13[[#This Row],[Sales]]&gt;50000,"HIGH","NORMAL")</f>
        <v>HIGH</v>
      </c>
    </row>
    <row r="27" spans="1:10" x14ac:dyDescent="0.3">
      <c r="A27" s="4">
        <v>45377</v>
      </c>
      <c r="B27" s="5" t="s">
        <v>39</v>
      </c>
      <c r="C27" s="5" t="s">
        <v>16</v>
      </c>
      <c r="D27" s="5" t="s">
        <v>18</v>
      </c>
      <c r="E27" s="6">
        <v>41000</v>
      </c>
      <c r="F27" s="5" t="str">
        <f>IF(Table13[[#This Row],[Sales]]&gt;50000,"HIGH","NORMAL")</f>
        <v>NORMAL</v>
      </c>
    </row>
    <row r="28" spans="1:10" x14ac:dyDescent="0.3">
      <c r="A28" s="4">
        <v>45378</v>
      </c>
      <c r="B28" s="5" t="s">
        <v>40</v>
      </c>
      <c r="C28" s="5" t="s">
        <v>7</v>
      </c>
      <c r="D28" s="5" t="s">
        <v>11</v>
      </c>
      <c r="E28" s="6">
        <v>35000</v>
      </c>
      <c r="F28" s="5" t="str">
        <f>IF(Table13[[#This Row],[Sales]]&gt;50000,"HIGH","NORMAL")</f>
        <v>NORMAL</v>
      </c>
    </row>
    <row r="29" spans="1:10" x14ac:dyDescent="0.3">
      <c r="A29" s="4">
        <v>45379</v>
      </c>
      <c r="B29" s="5" t="s">
        <v>41</v>
      </c>
      <c r="C29" s="5" t="s">
        <v>10</v>
      </c>
      <c r="D29" s="5" t="s">
        <v>14</v>
      </c>
      <c r="E29" s="6">
        <v>26000</v>
      </c>
      <c r="F29" s="5" t="str">
        <f>IF(Table13[[#This Row],[Sales]]&gt;50000,"HIGH","NORMAL")</f>
        <v>NORMAL</v>
      </c>
    </row>
    <row r="30" spans="1:10" x14ac:dyDescent="0.3">
      <c r="A30" s="4">
        <v>45380</v>
      </c>
      <c r="B30" s="5" t="s">
        <v>42</v>
      </c>
      <c r="C30" s="5" t="s">
        <v>13</v>
      </c>
      <c r="D30" s="5" t="s">
        <v>8</v>
      </c>
      <c r="E30" s="6">
        <v>49000</v>
      </c>
      <c r="F30" s="5" t="str">
        <f>IF(Table13[[#This Row],[Sales]]&gt;50000,"HIGH","NORMAL")</f>
        <v>NORMAL</v>
      </c>
    </row>
    <row r="31" spans="1:10" x14ac:dyDescent="0.3">
      <c r="A31" s="4">
        <v>45381</v>
      </c>
      <c r="B31" s="5" t="s">
        <v>43</v>
      </c>
      <c r="C31" s="5" t="s">
        <v>16</v>
      </c>
      <c r="D31" s="5" t="s">
        <v>18</v>
      </c>
      <c r="E31" s="6">
        <v>44000</v>
      </c>
      <c r="F31" s="5" t="str">
        <f>IF(Table13[[#This Row],[Sales]]&gt;50000,"HIGH","NORMAL")</f>
        <v>NORMAL</v>
      </c>
    </row>
    <row r="32" spans="1:10" x14ac:dyDescent="0.3">
      <c r="A32" s="4">
        <v>45382</v>
      </c>
      <c r="B32" s="5" t="s">
        <v>44</v>
      </c>
      <c r="C32" s="5" t="s">
        <v>7</v>
      </c>
      <c r="D32" s="5" t="s">
        <v>11</v>
      </c>
      <c r="E32" s="6">
        <v>38000</v>
      </c>
      <c r="F32" s="5" t="str">
        <f>IF(Table13[[#This Row],[Sales]]&gt;50000,"HIGH","NORMAL")</f>
        <v>NORMAL</v>
      </c>
    </row>
    <row r="33" spans="1:12" x14ac:dyDescent="0.3">
      <c r="A33" s="4">
        <v>45383</v>
      </c>
      <c r="B33" s="5" t="s">
        <v>45</v>
      </c>
      <c r="C33" s="5" t="s">
        <v>10</v>
      </c>
      <c r="D33" s="5" t="s">
        <v>14</v>
      </c>
      <c r="E33" s="6">
        <v>52000</v>
      </c>
      <c r="F33" s="5" t="str">
        <f>IF(Table13[[#This Row],[Sales]]&gt;50000,"HIGH","NORMAL")</f>
        <v>HIGH</v>
      </c>
    </row>
    <row r="34" spans="1:12" x14ac:dyDescent="0.3">
      <c r="A34" s="4">
        <v>45384</v>
      </c>
      <c r="B34" s="5" t="s">
        <v>46</v>
      </c>
      <c r="C34" s="5" t="s">
        <v>16</v>
      </c>
      <c r="D34" s="5" t="s">
        <v>8</v>
      </c>
      <c r="E34" s="6">
        <v>31000</v>
      </c>
      <c r="F34" s="5" t="str">
        <f>IF(Table13[[#This Row],[Sales]]&gt;50000,"HIGH","NORMAL")</f>
        <v>NORMAL</v>
      </c>
    </row>
    <row r="35" spans="1:12" x14ac:dyDescent="0.3">
      <c r="A35" s="4">
        <v>45385</v>
      </c>
      <c r="B35" s="5" t="s">
        <v>47</v>
      </c>
      <c r="C35" s="5" t="s">
        <v>13</v>
      </c>
      <c r="D35" s="5" t="s">
        <v>18</v>
      </c>
      <c r="E35" s="6">
        <v>57000</v>
      </c>
      <c r="F35" s="5" t="str">
        <f>IF(Table13[[#This Row],[Sales]]&gt;50000,"HIGH","NORMAL")</f>
        <v>HIGH</v>
      </c>
    </row>
    <row r="36" spans="1:12" x14ac:dyDescent="0.3">
      <c r="A36" s="4">
        <v>45386</v>
      </c>
      <c r="B36" s="5" t="s">
        <v>48</v>
      </c>
      <c r="C36" s="5" t="s">
        <v>10</v>
      </c>
      <c r="D36" s="5" t="s">
        <v>11</v>
      </c>
      <c r="E36" s="6">
        <v>29500</v>
      </c>
      <c r="F36" s="5" t="str">
        <f>IF(Table13[[#This Row],[Sales]]&gt;50000,"HIGH","NORMAL")</f>
        <v>NORMAL</v>
      </c>
    </row>
    <row r="37" spans="1:12" x14ac:dyDescent="0.3">
      <c r="A37" s="4">
        <v>45387</v>
      </c>
      <c r="B37" s="5" t="s">
        <v>49</v>
      </c>
      <c r="C37" s="5" t="s">
        <v>7</v>
      </c>
      <c r="D37" s="5" t="s">
        <v>14</v>
      </c>
      <c r="E37" s="6">
        <v>46500</v>
      </c>
      <c r="F37" s="5" t="str">
        <f>IF(Table13[[#This Row],[Sales]]&gt;50000,"HIGH","NORMAL")</f>
        <v>NORMAL</v>
      </c>
    </row>
    <row r="38" spans="1:12" x14ac:dyDescent="0.3">
      <c r="A38" s="4">
        <v>45388</v>
      </c>
      <c r="B38" s="5" t="s">
        <v>50</v>
      </c>
      <c r="C38" s="5" t="s">
        <v>16</v>
      </c>
      <c r="D38" s="5" t="s">
        <v>8</v>
      </c>
      <c r="E38" s="6">
        <v>61000</v>
      </c>
      <c r="F38" s="5" t="str">
        <f>IF(Table13[[#This Row],[Sales]]&gt;50000,"HIGH","NORMAL")</f>
        <v>HIGH</v>
      </c>
    </row>
    <row r="39" spans="1:12" x14ac:dyDescent="0.3">
      <c r="A39" s="4">
        <v>45389</v>
      </c>
      <c r="B39" s="5" t="s">
        <v>51</v>
      </c>
      <c r="C39" s="5" t="s">
        <v>10</v>
      </c>
      <c r="D39" s="5" t="s">
        <v>18</v>
      </c>
      <c r="E39" s="6">
        <v>35500</v>
      </c>
      <c r="F39" s="5" t="str">
        <f>IF(Table13[[#This Row],[Sales]]&gt;50000,"HIGH","NORMAL")</f>
        <v>NORMAL</v>
      </c>
      <c r="L39" t="s">
        <v>68</v>
      </c>
    </row>
    <row r="40" spans="1:12" x14ac:dyDescent="0.3">
      <c r="A40" s="4">
        <v>45390</v>
      </c>
      <c r="B40" s="5" t="s">
        <v>52</v>
      </c>
      <c r="C40" s="5" t="s">
        <v>13</v>
      </c>
      <c r="D40" s="5" t="s">
        <v>11</v>
      </c>
      <c r="E40" s="6">
        <v>27500</v>
      </c>
      <c r="F40" s="5" t="str">
        <f>IF(Table13[[#This Row],[Sales]]&gt;50000,"HIGH","NORMAL")</f>
        <v>NORMAL</v>
      </c>
    </row>
    <row r="41" spans="1:12" x14ac:dyDescent="0.3">
      <c r="A41" s="4">
        <v>45391</v>
      </c>
      <c r="B41" s="5" t="s">
        <v>53</v>
      </c>
      <c r="C41" s="5" t="s">
        <v>16</v>
      </c>
      <c r="D41" s="5" t="s">
        <v>14</v>
      </c>
      <c r="E41" s="6">
        <v>33500</v>
      </c>
      <c r="F41" s="5" t="str">
        <f>IF(Table13[[#This Row],[Sales]]&gt;50000,"HIGH","NORMAL")</f>
        <v>NORMAL</v>
      </c>
    </row>
    <row r="42" spans="1:12" x14ac:dyDescent="0.3">
      <c r="A42" s="4">
        <v>45392</v>
      </c>
      <c r="B42" s="5" t="s">
        <v>54</v>
      </c>
      <c r="C42" s="5" t="s">
        <v>7</v>
      </c>
      <c r="D42" s="5" t="s">
        <v>8</v>
      </c>
      <c r="E42" s="6">
        <v>68000</v>
      </c>
      <c r="F42" s="5" t="str">
        <f>IF(Table13[[#This Row],[Sales]]&gt;50000,"HIGH","NORMAL")</f>
        <v>HIGH</v>
      </c>
    </row>
    <row r="43" spans="1:12" x14ac:dyDescent="0.3">
      <c r="A43" s="4">
        <v>45393</v>
      </c>
      <c r="B43" s="5" t="s">
        <v>55</v>
      </c>
      <c r="C43" s="5" t="s">
        <v>10</v>
      </c>
      <c r="D43" s="5" t="s">
        <v>18</v>
      </c>
      <c r="E43" s="6">
        <v>43000</v>
      </c>
      <c r="F43" s="5" t="str">
        <f>IF(Table13[[#This Row],[Sales]]&gt;50000,"HIGH","NORMAL")</f>
        <v>NORMAL</v>
      </c>
    </row>
    <row r="44" spans="1:12" x14ac:dyDescent="0.3">
      <c r="A44" s="4">
        <v>45394</v>
      </c>
      <c r="B44" s="5" t="s">
        <v>56</v>
      </c>
      <c r="C44" s="5" t="s">
        <v>16</v>
      </c>
      <c r="D44" s="5" t="s">
        <v>11</v>
      </c>
      <c r="E44" s="6">
        <v>31500</v>
      </c>
      <c r="F44" s="5" t="str">
        <f>IF(Table13[[#This Row],[Sales]]&gt;50000,"HIGH","NORMAL")</f>
        <v>NORMAL</v>
      </c>
    </row>
    <row r="45" spans="1:12" x14ac:dyDescent="0.3">
      <c r="A45" s="4">
        <v>45395</v>
      </c>
      <c r="B45" s="5" t="s">
        <v>57</v>
      </c>
      <c r="C45" s="5" t="s">
        <v>13</v>
      </c>
      <c r="D45" s="5" t="s">
        <v>14</v>
      </c>
      <c r="E45" s="6">
        <v>25500</v>
      </c>
      <c r="F45" s="5" t="str">
        <f>IF(Table13[[#This Row],[Sales]]&gt;50000,"HIGH","NORMAL")</f>
        <v>NORMAL</v>
      </c>
    </row>
    <row r="46" spans="1:12" x14ac:dyDescent="0.3">
      <c r="A46" s="4">
        <v>45396</v>
      </c>
      <c r="B46" s="5" t="s">
        <v>58</v>
      </c>
      <c r="C46" s="5" t="s">
        <v>10</v>
      </c>
      <c r="D46" s="5" t="s">
        <v>8</v>
      </c>
      <c r="E46" s="6">
        <v>60000</v>
      </c>
      <c r="F46" s="5" t="str">
        <f>IF(Table13[[#This Row],[Sales]]&gt;50000,"HIGH","NORMAL")</f>
        <v>HIGH</v>
      </c>
    </row>
    <row r="47" spans="1:12" x14ac:dyDescent="0.3">
      <c r="A47" s="4">
        <v>45397</v>
      </c>
      <c r="B47" s="5" t="s">
        <v>59</v>
      </c>
      <c r="C47" s="5" t="s">
        <v>7</v>
      </c>
      <c r="D47" s="5" t="s">
        <v>18</v>
      </c>
      <c r="E47" s="6">
        <v>47000</v>
      </c>
      <c r="F47" s="5" t="str">
        <f>IF(Table13[[#This Row],[Sales]]&gt;50000,"HIGH","NORMAL")</f>
        <v>NORMAL</v>
      </c>
    </row>
    <row r="48" spans="1:12" x14ac:dyDescent="0.3">
      <c r="A48" s="4">
        <v>45398</v>
      </c>
      <c r="B48" s="5" t="s">
        <v>60</v>
      </c>
      <c r="C48" s="5" t="s">
        <v>16</v>
      </c>
      <c r="D48" s="5" t="s">
        <v>11</v>
      </c>
      <c r="E48" s="6">
        <v>36000</v>
      </c>
      <c r="F48" s="5" t="str">
        <f>IF(Table13[[#This Row],[Sales]]&gt;50000,"HIGH","NORMAL")</f>
        <v>NORMAL</v>
      </c>
    </row>
    <row r="49" spans="1:6" x14ac:dyDescent="0.3">
      <c r="A49" s="4">
        <v>45399</v>
      </c>
      <c r="B49" s="5" t="s">
        <v>61</v>
      </c>
      <c r="C49" s="5" t="s">
        <v>13</v>
      </c>
      <c r="D49" s="5" t="s">
        <v>14</v>
      </c>
      <c r="E49" s="6">
        <v>41000</v>
      </c>
      <c r="F49" s="5" t="str">
        <f>IF(Table13[[#This Row],[Sales]]&gt;50000,"HIGH","NORMAL")</f>
        <v>NORMAL</v>
      </c>
    </row>
    <row r="50" spans="1:6" x14ac:dyDescent="0.3">
      <c r="A50" s="4">
        <v>45400</v>
      </c>
      <c r="B50" s="5" t="s">
        <v>62</v>
      </c>
      <c r="C50" s="5" t="s">
        <v>7</v>
      </c>
      <c r="D50" s="5" t="s">
        <v>8</v>
      </c>
      <c r="E50" s="6">
        <v>53000</v>
      </c>
      <c r="F50" s="5" t="str">
        <f>IF(Table13[[#This Row],[Sales]]&gt;50000,"HIGH","NORMAL")</f>
        <v>HIGH</v>
      </c>
    </row>
    <row r="51" spans="1:6" x14ac:dyDescent="0.3">
      <c r="A51" s="8">
        <v>45401</v>
      </c>
      <c r="B51" s="9" t="s">
        <v>63</v>
      </c>
      <c r="C51" s="9" t="s">
        <v>10</v>
      </c>
      <c r="D51" s="9" t="s">
        <v>18</v>
      </c>
      <c r="E51" s="10">
        <v>39000</v>
      </c>
      <c r="F51" s="9" t="str">
        <f>IF(Table13[[#This Row],[Sales]]&gt;50000,"HIGH","NORMAL")</f>
        <v>NORMAL</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Kumar Jaiswal</dc:creator>
  <cp:lastModifiedBy>Rahul Kumar Jaiswal</cp:lastModifiedBy>
  <dcterms:created xsi:type="dcterms:W3CDTF">2026-03-21T00:08:24Z</dcterms:created>
  <dcterms:modified xsi:type="dcterms:W3CDTF">2026-03-21T00:30:01Z</dcterms:modified>
</cp:coreProperties>
</file>