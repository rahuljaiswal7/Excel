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8_{0D0D3DCB-883B-495D-ACCB-A9455F3FC382}" xr6:coauthVersionLast="47" xr6:coauthVersionMax="47" xr10:uidLastSave="{00000000-0000-0000-0000-000000000000}"/>
  <bookViews>
    <workbookView xWindow="-108" yWindow="-108" windowWidth="23256" windowHeight="12456" xr2:uid="{02C9DEFA-A3DF-4E9D-97E8-4166C156D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K18" i="1" s="1"/>
  <c r="G3" i="1"/>
  <c r="G4" i="1"/>
  <c r="G5" i="1"/>
  <c r="G6" i="1"/>
  <c r="G7" i="1"/>
  <c r="G8" i="1"/>
  <c r="K19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2" i="1" a="1"/>
  <c r="F2" i="1" s="1"/>
  <c r="K11" i="1" s="1"/>
  <c r="F3" i="1" a="1"/>
  <c r="F3" i="1" s="1"/>
  <c r="K12" i="1" s="1"/>
  <c r="F4" i="1" a="1"/>
  <c r="F4" i="1" s="1"/>
  <c r="F5" i="1" a="1"/>
  <c r="F5" i="1" s="1"/>
  <c r="H5" i="1" s="1"/>
  <c r="I5" i="1" s="1"/>
  <c r="F6" i="1" a="1"/>
  <c r="F6" i="1" s="1"/>
  <c r="H6" i="1" s="1"/>
  <c r="I6" i="1" s="1"/>
  <c r="F7" i="1" a="1"/>
  <c r="F7" i="1" s="1"/>
  <c r="H7" i="1" s="1"/>
  <c r="I7" i="1" s="1"/>
  <c r="F8" i="1" a="1"/>
  <c r="F8" i="1" s="1"/>
  <c r="H8" i="1" s="1"/>
  <c r="I8" i="1" s="1"/>
  <c r="F9" i="1" a="1"/>
  <c r="F9" i="1" s="1"/>
  <c r="F10" i="1" a="1"/>
  <c r="F10" i="1" s="1"/>
  <c r="H10" i="1" s="1"/>
  <c r="I10" i="1" s="1"/>
  <c r="F11" i="1" a="1"/>
  <c r="F11" i="1" s="1"/>
  <c r="H11" i="1" s="1"/>
  <c r="I11" i="1" s="1"/>
  <c r="F12" i="1" a="1"/>
  <c r="F12" i="1" s="1"/>
  <c r="F13" i="1" a="1"/>
  <c r="F13" i="1" s="1"/>
  <c r="F14" i="1" a="1"/>
  <c r="F14" i="1" s="1"/>
  <c r="H14" i="1" s="1"/>
  <c r="I14" i="1" s="1"/>
  <c r="F15" i="1" a="1"/>
  <c r="F15" i="1" s="1"/>
  <c r="H15" i="1" s="1"/>
  <c r="I15" i="1" s="1"/>
  <c r="F16" i="1" a="1"/>
  <c r="F16" i="1" s="1"/>
  <c r="F17" i="1" a="1"/>
  <c r="F17" i="1" s="1"/>
  <c r="F18" i="1" a="1"/>
  <c r="F18" i="1" s="1"/>
  <c r="H18" i="1" s="1"/>
  <c r="I18" i="1" s="1"/>
  <c r="F19" i="1" a="1"/>
  <c r="F19" i="1" s="1"/>
  <c r="H19" i="1" s="1"/>
  <c r="I19" i="1" s="1"/>
  <c r="F20" i="1" a="1"/>
  <c r="F20" i="1" s="1"/>
  <c r="H20" i="1" s="1"/>
  <c r="I20" i="1" s="1"/>
  <c r="F21" i="1" a="1"/>
  <c r="F21" i="1" s="1"/>
  <c r="F22" i="1" a="1"/>
  <c r="F22" i="1" s="1"/>
  <c r="H22" i="1" s="1"/>
  <c r="I22" i="1" s="1"/>
  <c r="F23" i="1" a="1"/>
  <c r="F23" i="1" s="1"/>
  <c r="H23" i="1" s="1"/>
  <c r="I23" i="1" s="1"/>
  <c r="F24" i="1" a="1"/>
  <c r="F24" i="1" s="1"/>
  <c r="F25" i="1" a="1"/>
  <c r="F25" i="1" s="1"/>
  <c r="F26" i="1" a="1"/>
  <c r="F26" i="1" s="1"/>
  <c r="H26" i="1" s="1"/>
  <c r="I26" i="1" s="1"/>
  <c r="F27" i="1" a="1"/>
  <c r="F27" i="1" s="1"/>
  <c r="H27" i="1" s="1"/>
  <c r="I27" i="1" s="1"/>
  <c r="F28" i="1" a="1"/>
  <c r="F28" i="1" s="1"/>
  <c r="F29" i="1" a="1"/>
  <c r="F29" i="1" s="1"/>
  <c r="F30" i="1" a="1"/>
  <c r="F30" i="1" s="1"/>
  <c r="H30" i="1" s="1"/>
  <c r="I30" i="1" s="1"/>
  <c r="F31" i="1" a="1"/>
  <c r="F31" i="1" s="1"/>
  <c r="H31" i="1" s="1"/>
  <c r="I31" i="1" s="1"/>
  <c r="F32" i="1" a="1"/>
  <c r="F32" i="1" s="1"/>
  <c r="H32" i="1" s="1"/>
  <c r="I32" i="1" s="1"/>
  <c r="F33" i="1" a="1"/>
  <c r="F33" i="1" s="1"/>
  <c r="H33" i="1" s="1"/>
  <c r="I33" i="1" s="1"/>
  <c r="F34" i="1" a="1"/>
  <c r="F34" i="1" s="1"/>
  <c r="H34" i="1" s="1"/>
  <c r="I34" i="1" s="1"/>
  <c r="F35" i="1" a="1"/>
  <c r="F35" i="1" s="1"/>
  <c r="H35" i="1" s="1"/>
  <c r="I35" i="1" s="1"/>
  <c r="F36" i="1" a="1"/>
  <c r="F36" i="1" s="1"/>
  <c r="F37" i="1" a="1"/>
  <c r="F37" i="1" s="1"/>
  <c r="F38" i="1" a="1"/>
  <c r="F38" i="1" s="1"/>
  <c r="H38" i="1" s="1"/>
  <c r="I38" i="1" s="1"/>
  <c r="F39" i="1" a="1"/>
  <c r="F39" i="1" s="1"/>
  <c r="H39" i="1" s="1"/>
  <c r="I39" i="1" s="1"/>
  <c r="F40" i="1" a="1"/>
  <c r="F40" i="1" s="1"/>
  <c r="F41" i="1" a="1"/>
  <c r="F41" i="1" s="1"/>
  <c r="H41" i="1" s="1"/>
  <c r="I41" i="1" s="1"/>
  <c r="F42" i="1" a="1"/>
  <c r="F42" i="1" s="1"/>
  <c r="H42" i="1" s="1"/>
  <c r="I42" i="1" s="1"/>
  <c r="F43" i="1" a="1"/>
  <c r="F43" i="1" s="1"/>
  <c r="H43" i="1" s="1"/>
  <c r="I43" i="1" s="1"/>
  <c r="F44" i="1" a="1"/>
  <c r="F44" i="1" s="1"/>
  <c r="H44" i="1" s="1"/>
  <c r="I44" i="1" s="1"/>
  <c r="F45" i="1" a="1"/>
  <c r="F45" i="1" s="1"/>
  <c r="H45" i="1" s="1"/>
  <c r="I45" i="1" s="1"/>
  <c r="F46" i="1" a="1"/>
  <c r="F46" i="1" s="1"/>
  <c r="H46" i="1" s="1"/>
  <c r="I46" i="1" s="1"/>
  <c r="F47" i="1" a="1"/>
  <c r="F47" i="1" s="1"/>
  <c r="H47" i="1" s="1"/>
  <c r="I47" i="1" s="1"/>
  <c r="F48" i="1" a="1"/>
  <c r="F48" i="1" s="1"/>
  <c r="F49" i="1" a="1"/>
  <c r="F49" i="1" s="1"/>
  <c r="F50" i="1" a="1"/>
  <c r="F50" i="1" s="1"/>
  <c r="H50" i="1" s="1"/>
  <c r="I50" i="1" s="1"/>
  <c r="F51" i="1" a="1"/>
  <c r="F51" i="1" s="1"/>
  <c r="H51" i="1" s="1"/>
  <c r="I51" i="1" s="1"/>
  <c r="H48" i="1" l="1"/>
  <c r="I48" i="1" s="1"/>
  <c r="H36" i="1"/>
  <c r="I36" i="1" s="1"/>
  <c r="H24" i="1"/>
  <c r="I24" i="1" s="1"/>
  <c r="H12" i="1"/>
  <c r="I12" i="1" s="1"/>
  <c r="H29" i="1"/>
  <c r="I29" i="1" s="1"/>
  <c r="H17" i="1"/>
  <c r="I17" i="1" s="1"/>
  <c r="H40" i="1"/>
  <c r="I40" i="1" s="1"/>
  <c r="H28" i="1"/>
  <c r="I28" i="1" s="1"/>
  <c r="H16" i="1"/>
  <c r="I16" i="1" s="1"/>
  <c r="H4" i="1"/>
  <c r="I4" i="1" s="1"/>
  <c r="H37" i="1"/>
  <c r="I37" i="1" s="1"/>
  <c r="H25" i="1"/>
  <c r="I25" i="1" s="1"/>
  <c r="H13" i="1"/>
  <c r="I13" i="1" s="1"/>
  <c r="H49" i="1"/>
  <c r="I49" i="1" s="1"/>
  <c r="H21" i="1"/>
  <c r="I21" i="1" s="1"/>
  <c r="H9" i="1"/>
  <c r="I9" i="1" s="1"/>
  <c r="H3" i="1"/>
  <c r="I3" i="1" s="1"/>
  <c r="H2" i="1"/>
  <c r="I2" i="1" s="1"/>
  <c r="K5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<sst xmlns="http://schemas.openxmlformats.org/spreadsheetml/2006/main" count="198" uniqueCount="86">
  <si>
    <t>Emp ID</t>
  </si>
  <si>
    <t>Name</t>
  </si>
  <si>
    <t>Department</t>
  </si>
  <si>
    <t>City</t>
  </si>
  <si>
    <t>Salary</t>
  </si>
  <si>
    <t>Amit</t>
  </si>
  <si>
    <t>HR</t>
  </si>
  <si>
    <t>Patna</t>
  </si>
  <si>
    <t>Rahul</t>
  </si>
  <si>
    <t>IT</t>
  </si>
  <si>
    <t>Delhi</t>
  </si>
  <si>
    <t>Pooja</t>
  </si>
  <si>
    <t>Finance</t>
  </si>
  <si>
    <t>Jaipur</t>
  </si>
  <si>
    <t>Neha</t>
  </si>
  <si>
    <t>Marketing</t>
  </si>
  <si>
    <t>Lucknow</t>
  </si>
  <si>
    <t>Rakesh</t>
  </si>
  <si>
    <t>Sales</t>
  </si>
  <si>
    <t>Varanasi</t>
  </si>
  <si>
    <t>Vikash</t>
  </si>
  <si>
    <t>Anjali</t>
  </si>
  <si>
    <t>Ranchi</t>
  </si>
  <si>
    <t>Rohit</t>
  </si>
  <si>
    <t>Gaya</t>
  </si>
  <si>
    <t>Deepak</t>
  </si>
  <si>
    <t>Noida</t>
  </si>
  <si>
    <t>Kiran</t>
  </si>
  <si>
    <t>Sunil</t>
  </si>
  <si>
    <t>Shweta</t>
  </si>
  <si>
    <t>Manoj</t>
  </si>
  <si>
    <t>Kota</t>
  </si>
  <si>
    <t>Abhishek</t>
  </si>
  <si>
    <t>Kolkata</t>
  </si>
  <si>
    <t>Nisha</t>
  </si>
  <si>
    <t>Ajay</t>
  </si>
  <si>
    <t>Ritu</t>
  </si>
  <si>
    <t>Mohit</t>
  </si>
  <si>
    <t>Indore</t>
  </si>
  <si>
    <t>Rajesh</t>
  </si>
  <si>
    <t>Kanpur</t>
  </si>
  <si>
    <t>Pankaj</t>
  </si>
  <si>
    <t>Sonali</t>
  </si>
  <si>
    <t>Vivek</t>
  </si>
  <si>
    <t>Alok</t>
  </si>
  <si>
    <t>Prayagraj</t>
  </si>
  <si>
    <t>Kavita</t>
  </si>
  <si>
    <t>Rohan</t>
  </si>
  <si>
    <t>Meena</t>
  </si>
  <si>
    <t>Sandeep</t>
  </si>
  <si>
    <t>Payal</t>
  </si>
  <si>
    <t>Prakash</t>
  </si>
  <si>
    <t>Akash</t>
  </si>
  <si>
    <t>Simran</t>
  </si>
  <si>
    <t>Amritsar</t>
  </si>
  <si>
    <t>Tarun</t>
  </si>
  <si>
    <t>Muskan</t>
  </si>
  <si>
    <t>Harsh</t>
  </si>
  <si>
    <t>Satyam</t>
  </si>
  <si>
    <t>Sneha</t>
  </si>
  <si>
    <t>Bhopal</t>
  </si>
  <si>
    <t>Gaurav</t>
  </si>
  <si>
    <t>Priti</t>
  </si>
  <si>
    <t>Dinesh</t>
  </si>
  <si>
    <t>Aarti</t>
  </si>
  <si>
    <t>Manish</t>
  </si>
  <si>
    <t>Jyoti</t>
  </si>
  <si>
    <t>Naveen</t>
  </si>
  <si>
    <t>Komal</t>
  </si>
  <si>
    <t>Suraj</t>
  </si>
  <si>
    <t>Bhavna</t>
  </si>
  <si>
    <t>Kapil</t>
  </si>
  <si>
    <t>Ashok</t>
  </si>
  <si>
    <t>Kunal</t>
  </si>
  <si>
    <t>Ramesh</t>
  </si>
  <si>
    <t>Bonus</t>
  </si>
  <si>
    <t>ADD THIS</t>
  </si>
  <si>
    <t>Allowance</t>
  </si>
  <si>
    <t>1. Department se Bonus nikalo</t>
  </si>
  <si>
    <t>2. City se Allowance nikalo</t>
  </si>
  <si>
    <t>3. Total Salary nikalo</t>
  </si>
  <si>
    <t>Total Salary</t>
  </si>
  <si>
    <t>IF Condition</t>
  </si>
  <si>
    <t>👉 Total Salary &gt; 40000 → "High Paid"</t>
  </si>
  <si>
    <t>👉 warna "Normal"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</si>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</sst>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2" borderId="1" xfId="0" applyFont="1" applyFill="1" applyBorder="1"/>
    <xf numFmtId="0" fontId="1" fillId="2" borderId="5" xfId="0" applyFont="1" applyFill="1" applyBorder="1"/>
    <xf numFmtId="0" fontId="0" fillId="0" borderId="5" xfId="0" applyBorder="1"/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40279-88A1-4D7E-A213-4AF1C9942EE3}" name="Table1" displayName="Table1" ref="A1:I51" totalsRowShown="0" headerRowDxfId="13" dataDxfId="11" headerRowBorderDxfId="12" tableBorderDxfId="10" totalsRowBorderDxfId="9">
  <autoFilter ref="A1:I51" xr:uid="{E0840279-88A1-4D7E-A213-4AF1C9942EE3}"/>
  <tableColumns count="9">
    <tableColumn id="1" xr3:uid="{AF874484-47B7-4758-96AA-E554B90BE580}" name="Emp ID" dataDxfId="8"/>
    <tableColumn id="2" xr3:uid="{35A7D31F-4B2C-49E4-8677-2AFBA90D968A}" name="Name" dataDxfId="7"/>
    <tableColumn id="3" xr3:uid="{12315905-DD06-4E10-A54B-85118A1DD91B}" name="Department" dataDxfId="6"/>
    <tableColumn id="4" xr3:uid="{8F75D18A-B7B4-4B11-95B2-28FD207B6B28}" name="City" dataDxfId="5"/>
    <tableColumn id="5" xr3:uid="{2DF18019-547C-4CAE-8D4F-2C3B4E22AE3F}" name="Salary" dataDxfId="4"/>
    <tableColumn id="6" xr3:uid="{AC7CE51A-EE0E-42F9-A313-664B4AA3D621}" name="Bonus" dataDxfId="3">
      <calculatedColumnFormula array="1">_xlfn.IFS(Table1[[#This Row],[Department]]="HR",2000,Table1[[#This Row],[Department]]="IT",5000,Table1[[#This Row],[Department]]="Finance",4000,Table1[[#This Row],[Department]]="Marketing",3000,Table1[[#This Row],[Department]]="Sales",2500)</calculatedColumnFormula>
    </tableColumn>
    <tableColumn id="7" xr3:uid="{410FF9CA-8CBE-495E-9562-378F808B8B09}" name="Allowance" dataDxfId="2">
      <calculatedColumnFormula>_xlfn.XLOOKUP(Table1[[#This Row],[City]],$P$3:$P$16,$Q$3:$Q$16,0,0)</calculatedColumnFormula>
    </tableColumn>
    <tableColumn id="8" xr3:uid="{BEAD5695-81B0-40D3-A8B0-AA92502B7B7B}" name="Total Salary" dataDxfId="1">
      <calculatedColumnFormula>Table1[[#This Row],[Salary]]+Table1[[#This Row],[Bonus]]+Table1[[#This Row],[Allowance]]</calculatedColumnFormula>
    </tableColumn>
    <tableColumn id="9" xr3:uid="{4A65F03E-7D25-48A2-8B53-0759781AE755}" name="Status" dataDxfId="0">
      <calculatedColumnFormula>IF(Table1[[#This Row],[Total Salary]]&gt;40000,"High Paid","Normal")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9931-669B-4846-BFE0-F5D920C0ADD1}">
  <dimension ref="A1:Q52"/>
  <sheetViews>
    <sheetView tabSelected="1" workbookViewId="0">
      <selection activeCell="M30" sqref="M30"/>
    </sheetView>
  </sheetViews>
  <sheetFormatPr defaultColWidth="12.5546875" defaultRowHeight="14.4" x14ac:dyDescent="0.3"/>
  <cols>
    <col min="3" max="3" width="15.6640625" customWidth="1"/>
    <col min="8" max="9" width="12.5546875" customWidth="1"/>
    <col min="15" max="15" width="6.33203125" customWidth="1"/>
  </cols>
  <sheetData>
    <row r="1" spans="1:17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75</v>
      </c>
      <c r="G1" s="5" t="s">
        <v>77</v>
      </c>
      <c r="H1" s="1" t="s">
        <v>81</v>
      </c>
      <c r="I1" s="1" t="s">
        <v>85</v>
      </c>
      <c r="M1" s="23" t="s">
        <v>76</v>
      </c>
      <c r="N1" s="24"/>
      <c r="P1" s="22" t="s">
        <v>76</v>
      </c>
      <c r="Q1" s="22"/>
    </row>
    <row r="2" spans="1:17" x14ac:dyDescent="0.3">
      <c r="A2" s="6">
        <v>101</v>
      </c>
      <c r="B2" s="2" t="s">
        <v>5</v>
      </c>
      <c r="C2" s="2" t="s">
        <v>6</v>
      </c>
      <c r="D2" s="2" t="s">
        <v>7</v>
      </c>
      <c r="E2" s="7">
        <v>25000</v>
      </c>
      <c r="F2" s="14" cm="1">
        <f t="array" ref="F2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2" s="14">
        <f>_xlfn.XLOOKUP(Table1[[#This Row],[City]],$P$3:$P$16,$Q$3:$Q$16,0,0)</f>
        <v>1500</v>
      </c>
      <c r="H2" s="2">
        <f>Table1[[#This Row],[Salary]]+Table1[[#This Row],[Bonus]]+Table1[[#This Row],[Allowance]]</f>
        <v>28500</v>
      </c>
      <c r="I2" s="2" t="str">
        <f>IF(Table1[[#This Row],[Total Salary]]&gt;40000,"High Paid","Normal")</f>
        <v>Normal</v>
      </c>
      <c r="M2" s="12" t="s">
        <v>2</v>
      </c>
      <c r="N2" s="13" t="s">
        <v>75</v>
      </c>
      <c r="P2" s="12" t="s">
        <v>3</v>
      </c>
      <c r="Q2" s="12" t="s">
        <v>77</v>
      </c>
    </row>
    <row r="3" spans="1:17" x14ac:dyDescent="0.3">
      <c r="A3" s="6">
        <v>102</v>
      </c>
      <c r="B3" s="2" t="s">
        <v>8</v>
      </c>
      <c r="C3" s="2" t="s">
        <v>9</v>
      </c>
      <c r="D3" s="2" t="s">
        <v>10</v>
      </c>
      <c r="E3" s="7">
        <v>35000</v>
      </c>
      <c r="F3" s="2" cm="1">
        <f t="array" ref="F3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3" s="2">
        <f>_xlfn.XLOOKUP(Table1[[#This Row],[City]],$P$3:$P$16,$Q$3:$Q$16,0,0)</f>
        <v>3000</v>
      </c>
      <c r="H3" s="2">
        <f>Table1[[#This Row],[Salary]]+Table1[[#This Row],[Bonus]]+Table1[[#This Row],[Allowance]]</f>
        <v>43000</v>
      </c>
      <c r="I3" s="2" t="str">
        <f>IF(Table1[[#This Row],[Total Salary]]&gt;40000,"High Paid","Normal")</f>
        <v>High Paid</v>
      </c>
      <c r="M3" s="2" t="s">
        <v>6</v>
      </c>
      <c r="N3" s="7">
        <v>2000</v>
      </c>
      <c r="P3" s="2" t="s">
        <v>7</v>
      </c>
      <c r="Q3" s="2">
        <v>1500</v>
      </c>
    </row>
    <row r="4" spans="1:17" x14ac:dyDescent="0.3">
      <c r="A4" s="6">
        <v>103</v>
      </c>
      <c r="B4" s="2" t="s">
        <v>11</v>
      </c>
      <c r="C4" s="2" t="s">
        <v>12</v>
      </c>
      <c r="D4" s="2" t="s">
        <v>13</v>
      </c>
      <c r="E4" s="7">
        <v>30000</v>
      </c>
      <c r="F4" s="2" cm="1">
        <f t="array" ref="F4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4" s="2">
        <f>_xlfn.XLOOKUP(Table1[[#This Row],[City]],$P$3:$P$16,$Q$3:$Q$16,0,0)</f>
        <v>2000</v>
      </c>
      <c r="H4" s="2">
        <f>Table1[[#This Row],[Salary]]+Table1[[#This Row],[Bonus]]+Table1[[#This Row],[Allowance]]</f>
        <v>36000</v>
      </c>
      <c r="I4" s="2" t="str">
        <f>IF(Table1[[#This Row],[Total Salary]]&gt;40000,"High Paid","Normal")</f>
        <v>Normal</v>
      </c>
      <c r="M4" s="2" t="s">
        <v>9</v>
      </c>
      <c r="N4" s="7">
        <v>5000</v>
      </c>
      <c r="P4" s="2" t="s">
        <v>10</v>
      </c>
      <c r="Q4" s="2">
        <v>3000</v>
      </c>
    </row>
    <row r="5" spans="1:17" x14ac:dyDescent="0.3">
      <c r="A5" s="6">
        <v>104</v>
      </c>
      <c r="B5" s="2" t="s">
        <v>14</v>
      </c>
      <c r="C5" s="2" t="s">
        <v>15</v>
      </c>
      <c r="D5" s="2" t="s">
        <v>16</v>
      </c>
      <c r="E5" s="7">
        <v>28000</v>
      </c>
      <c r="F5" s="2" cm="1">
        <f t="array" ref="F5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5" s="2">
        <f>_xlfn.XLOOKUP(Table1[[#This Row],[City]],$P$3:$P$16,$Q$3:$Q$16,0,0)</f>
        <v>1800</v>
      </c>
      <c r="H5" s="2">
        <f>Table1[[#This Row],[Salary]]+Table1[[#This Row],[Bonus]]+Table1[[#This Row],[Allowance]]</f>
        <v>32800</v>
      </c>
      <c r="I5" s="2" t="str">
        <f>IF(Table1[[#This Row],[Total Salary]]&gt;40000,"High Paid","Normal")</f>
        <v>Normal</v>
      </c>
      <c r="M5" s="2" t="s">
        <v>12</v>
      </c>
      <c r="N5" s="7">
        <v>4000</v>
      </c>
      <c r="P5" s="2" t="s">
        <v>13</v>
      </c>
      <c r="Q5" s="2">
        <v>2000</v>
      </c>
    </row>
    <row r="6" spans="1:17" x14ac:dyDescent="0.3">
      <c r="A6" s="6">
        <v>105</v>
      </c>
      <c r="B6" s="2" t="s">
        <v>17</v>
      </c>
      <c r="C6" s="2" t="s">
        <v>18</v>
      </c>
      <c r="D6" s="2" t="s">
        <v>19</v>
      </c>
      <c r="E6" s="7">
        <v>27000</v>
      </c>
      <c r="F6" s="2" cm="1">
        <f t="array" ref="F6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6" s="2">
        <f>_xlfn.XLOOKUP(Table1[[#This Row],[City]],$P$3:$P$16,$Q$3:$Q$16,0,0)</f>
        <v>1600</v>
      </c>
      <c r="H6" s="2">
        <f>Table1[[#This Row],[Salary]]+Table1[[#This Row],[Bonus]]+Table1[[#This Row],[Allowance]]</f>
        <v>31100</v>
      </c>
      <c r="I6" s="2" t="str">
        <f>IF(Table1[[#This Row],[Total Salary]]&gt;40000,"High Paid","Normal")</f>
        <v>Normal</v>
      </c>
      <c r="M6" s="2" t="s">
        <v>15</v>
      </c>
      <c r="N6" s="7">
        <v>3000</v>
      </c>
      <c r="P6" s="2" t="s">
        <v>16</v>
      </c>
      <c r="Q6" s="2">
        <v>1800</v>
      </c>
    </row>
    <row r="7" spans="1:17" x14ac:dyDescent="0.3">
      <c r="A7" s="6">
        <v>106</v>
      </c>
      <c r="B7" s="2" t="s">
        <v>20</v>
      </c>
      <c r="C7" s="2" t="s">
        <v>9</v>
      </c>
      <c r="D7" s="2" t="s">
        <v>7</v>
      </c>
      <c r="E7" s="7">
        <v>36000</v>
      </c>
      <c r="F7" s="2" cm="1">
        <f t="array" ref="F7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7" s="2">
        <f>_xlfn.XLOOKUP(Table1[[#This Row],[City]],$P$3:$P$16,$Q$3:$Q$16,0,0)</f>
        <v>1500</v>
      </c>
      <c r="H7" s="2">
        <f>Table1[[#This Row],[Salary]]+Table1[[#This Row],[Bonus]]+Table1[[#This Row],[Allowance]]</f>
        <v>42500</v>
      </c>
      <c r="I7" s="2" t="str">
        <f>IF(Table1[[#This Row],[Total Salary]]&gt;40000,"High Paid","Normal")</f>
        <v>High Paid</v>
      </c>
      <c r="M7" s="2" t="s">
        <v>18</v>
      </c>
      <c r="N7" s="7">
        <v>2500</v>
      </c>
      <c r="P7" s="2" t="s">
        <v>19</v>
      </c>
      <c r="Q7" s="2">
        <v>1600</v>
      </c>
    </row>
    <row r="8" spans="1:17" ht="18" x14ac:dyDescent="0.3">
      <c r="A8" s="6">
        <v>107</v>
      </c>
      <c r="B8" s="2" t="s">
        <v>21</v>
      </c>
      <c r="C8" s="2" t="s">
        <v>12</v>
      </c>
      <c r="D8" s="2" t="s">
        <v>22</v>
      </c>
      <c r="E8" s="7">
        <v>31000</v>
      </c>
      <c r="F8" s="2" cm="1">
        <f t="array" ref="F8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8" s="2">
        <f>_xlfn.XLOOKUP(Table1[[#This Row],[City]],$P$3:$P$16,$Q$3:$Q$16,0,0)</f>
        <v>1700</v>
      </c>
      <c r="H8" s="2">
        <f>Table1[[#This Row],[Salary]]+Table1[[#This Row],[Bonus]]+Table1[[#This Row],[Allowance]]</f>
        <v>36700</v>
      </c>
      <c r="I8" s="2" t="str">
        <f>IF(Table1[[#This Row],[Total Salary]]&gt;40000,"High Paid","Normal")</f>
        <v>Normal</v>
      </c>
      <c r="J8" s="25" t="s">
        <v>78</v>
      </c>
      <c r="K8" s="25"/>
      <c r="L8" s="25"/>
      <c r="P8" s="2" t="s">
        <v>22</v>
      </c>
      <c r="Q8" s="2">
        <v>1700</v>
      </c>
    </row>
    <row r="9" spans="1:17" x14ac:dyDescent="0.3">
      <c r="A9" s="6">
        <v>108</v>
      </c>
      <c r="B9" s="2" t="s">
        <v>23</v>
      </c>
      <c r="C9" s="2" t="s">
        <v>18</v>
      </c>
      <c r="D9" s="2" t="s">
        <v>24</v>
      </c>
      <c r="E9" s="7">
        <v>29000</v>
      </c>
      <c r="F9" s="2" cm="1">
        <f t="array" ref="F9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9" s="2">
        <f>_xlfn.XLOOKUP(Table1[[#This Row],[City]],$P$3:$P$16,$Q$3:$Q$16,0,0)</f>
        <v>1400</v>
      </c>
      <c r="H9" s="2">
        <f>Table1[[#This Row],[Salary]]+Table1[[#This Row],[Bonus]]+Table1[[#This Row],[Allowance]]</f>
        <v>32900</v>
      </c>
      <c r="I9" s="2" t="str">
        <f>IF(Table1[[#This Row],[Total Salary]]&gt;40000,"High Paid","Normal")</f>
        <v>Normal</v>
      </c>
      <c r="P9" s="2" t="s">
        <v>26</v>
      </c>
      <c r="Q9" s="2">
        <v>2500</v>
      </c>
    </row>
    <row r="10" spans="1:17" x14ac:dyDescent="0.3">
      <c r="A10" s="6">
        <v>109</v>
      </c>
      <c r="B10" s="2" t="s">
        <v>25</v>
      </c>
      <c r="C10" s="2" t="s">
        <v>6</v>
      </c>
      <c r="D10" s="2" t="s">
        <v>26</v>
      </c>
      <c r="E10" s="7">
        <v>26000</v>
      </c>
      <c r="F10" s="2" cm="1">
        <f t="array" ref="F10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10" s="2">
        <f>_xlfn.XLOOKUP(Table1[[#This Row],[City]],$P$3:$P$16,$Q$3:$Q$16,0,0)</f>
        <v>2500</v>
      </c>
      <c r="H10" s="2">
        <f>Table1[[#This Row],[Salary]]+Table1[[#This Row],[Bonus]]+Table1[[#This Row],[Allowance]]</f>
        <v>30500</v>
      </c>
      <c r="I10" s="2" t="str">
        <f>IF(Table1[[#This Row],[Total Salary]]&gt;40000,"High Paid","Normal")</f>
        <v>Normal</v>
      </c>
      <c r="J10" s="16" t="s">
        <v>2</v>
      </c>
      <c r="K10" s="15" t="s">
        <v>75</v>
      </c>
      <c r="P10" s="2" t="s">
        <v>24</v>
      </c>
      <c r="Q10" s="2">
        <v>1400</v>
      </c>
    </row>
    <row r="11" spans="1:17" x14ac:dyDescent="0.3">
      <c r="A11" s="6">
        <v>110</v>
      </c>
      <c r="B11" s="2" t="s">
        <v>27</v>
      </c>
      <c r="C11" s="2" t="s">
        <v>15</v>
      </c>
      <c r="D11" s="2" t="s">
        <v>7</v>
      </c>
      <c r="E11" s="7">
        <v>24000</v>
      </c>
      <c r="F11" s="2" cm="1">
        <f t="array" ref="F11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11" s="2">
        <f>_xlfn.XLOOKUP(Table1[[#This Row],[City]],$P$3:$P$16,$Q$3:$Q$16,0,0)</f>
        <v>1500</v>
      </c>
      <c r="H11" s="2">
        <f>Table1[[#This Row],[Salary]]+Table1[[#This Row],[Bonus]]+Table1[[#This Row],[Allowance]]</f>
        <v>28500</v>
      </c>
      <c r="I11" s="2" t="str">
        <f>IF(Table1[[#This Row],[Total Salary]]&gt;40000,"High Paid","Normal")</f>
        <v>Normal</v>
      </c>
      <c r="J11" s="17" t="s">
        <v>6</v>
      </c>
      <c r="K11" s="11">
        <f>_xlfn.XLOOKUP(J11,Table1[Department],Table1[Bonus],,0)</f>
        <v>2000</v>
      </c>
      <c r="P11" s="2" t="s">
        <v>40</v>
      </c>
      <c r="Q11" s="2">
        <v>1500</v>
      </c>
    </row>
    <row r="12" spans="1:17" x14ac:dyDescent="0.3">
      <c r="A12" s="6">
        <v>111</v>
      </c>
      <c r="B12" s="2" t="s">
        <v>28</v>
      </c>
      <c r="C12" s="2" t="s">
        <v>18</v>
      </c>
      <c r="D12" s="2" t="s">
        <v>10</v>
      </c>
      <c r="E12" s="7">
        <v>33000</v>
      </c>
      <c r="F12" s="2" cm="1">
        <f t="array" ref="F12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12" s="2">
        <f>_xlfn.XLOOKUP(Table1[[#This Row],[City]],$P$3:$P$16,$Q$3:$Q$16,0,0)</f>
        <v>3000</v>
      </c>
      <c r="H12" s="2">
        <f>Table1[[#This Row],[Salary]]+Table1[[#This Row],[Bonus]]+Table1[[#This Row],[Allowance]]</f>
        <v>38500</v>
      </c>
      <c r="I12" s="2" t="str">
        <f>IF(Table1[[#This Row],[Total Salary]]&gt;40000,"High Paid","Normal")</f>
        <v>Normal</v>
      </c>
      <c r="J12" s="17" t="s">
        <v>9</v>
      </c>
      <c r="K12" s="11">
        <f>_xlfn.XLOOKUP(J12,Table1[Department],Table1[Bonus],,0)</f>
        <v>5000</v>
      </c>
      <c r="P12" s="2" t="s">
        <v>33</v>
      </c>
      <c r="Q12" s="2">
        <v>2800</v>
      </c>
    </row>
    <row r="13" spans="1:17" x14ac:dyDescent="0.3">
      <c r="A13" s="6">
        <v>112</v>
      </c>
      <c r="B13" s="2" t="s">
        <v>29</v>
      </c>
      <c r="C13" s="2" t="s">
        <v>15</v>
      </c>
      <c r="D13" s="2" t="s">
        <v>13</v>
      </c>
      <c r="E13" s="7">
        <v>27000</v>
      </c>
      <c r="F13" s="2" cm="1">
        <f t="array" ref="F13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13" s="2">
        <f>_xlfn.XLOOKUP(Table1[[#This Row],[City]],$P$3:$P$16,$Q$3:$Q$16,0,0)</f>
        <v>2000</v>
      </c>
      <c r="H13" s="2">
        <f>Table1[[#This Row],[Salary]]+Table1[[#This Row],[Bonus]]+Table1[[#This Row],[Allowance]]</f>
        <v>32000</v>
      </c>
      <c r="I13" s="2" t="str">
        <f>IF(Table1[[#This Row],[Total Salary]]&gt;40000,"High Paid","Normal")</f>
        <v>Normal</v>
      </c>
      <c r="P13" s="2" t="s">
        <v>38</v>
      </c>
      <c r="Q13" s="2">
        <v>2200</v>
      </c>
    </row>
    <row r="14" spans="1:17" x14ac:dyDescent="0.3">
      <c r="A14" s="6">
        <v>113</v>
      </c>
      <c r="B14" s="2" t="s">
        <v>30</v>
      </c>
      <c r="C14" s="2" t="s">
        <v>12</v>
      </c>
      <c r="D14" s="2" t="s">
        <v>31</v>
      </c>
      <c r="E14" s="7">
        <v>32000</v>
      </c>
      <c r="F14" s="2" cm="1">
        <f t="array" ref="F14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14" s="2">
        <f>_xlfn.XLOOKUP(Table1[[#This Row],[City]],$P$3:$P$16,$Q$3:$Q$16,0,0)</f>
        <v>0</v>
      </c>
      <c r="H14" s="2">
        <f>Table1[[#This Row],[Salary]]+Table1[[#This Row],[Bonus]]+Table1[[#This Row],[Allowance]]</f>
        <v>36000</v>
      </c>
      <c r="I14" s="2" t="str">
        <f>IF(Table1[[#This Row],[Total Salary]]&gt;40000,"High Paid","Normal")</f>
        <v>Normal</v>
      </c>
      <c r="P14" s="2" t="s">
        <v>54</v>
      </c>
      <c r="Q14" s="2">
        <v>2100</v>
      </c>
    </row>
    <row r="15" spans="1:17" ht="18" x14ac:dyDescent="0.3">
      <c r="A15" s="6">
        <v>114</v>
      </c>
      <c r="B15" s="2" t="s">
        <v>32</v>
      </c>
      <c r="C15" s="2" t="s">
        <v>9</v>
      </c>
      <c r="D15" s="2" t="s">
        <v>33</v>
      </c>
      <c r="E15" s="7">
        <v>40000</v>
      </c>
      <c r="F15" s="2" cm="1">
        <f t="array" ref="F15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15" s="2">
        <f>_xlfn.XLOOKUP(Table1[[#This Row],[City]],$P$3:$P$16,$Q$3:$Q$16,0,0)</f>
        <v>2800</v>
      </c>
      <c r="H15" s="2">
        <f>Table1[[#This Row],[Salary]]+Table1[[#This Row],[Bonus]]+Table1[[#This Row],[Allowance]]</f>
        <v>47800</v>
      </c>
      <c r="I15" s="2" t="str">
        <f>IF(Table1[[#This Row],[Total Salary]]&gt;40000,"High Paid","Normal")</f>
        <v>High Paid</v>
      </c>
      <c r="J15" s="25" t="s">
        <v>79</v>
      </c>
      <c r="K15" s="25"/>
      <c r="L15" s="25"/>
      <c r="P15" s="2" t="s">
        <v>60</v>
      </c>
      <c r="Q15" s="2">
        <v>2000</v>
      </c>
    </row>
    <row r="16" spans="1:17" x14ac:dyDescent="0.3">
      <c r="A16" s="6">
        <v>115</v>
      </c>
      <c r="B16" s="2" t="s">
        <v>34</v>
      </c>
      <c r="C16" s="2" t="s">
        <v>6</v>
      </c>
      <c r="D16" s="2" t="s">
        <v>7</v>
      </c>
      <c r="E16" s="7">
        <v>22000</v>
      </c>
      <c r="F16" s="2" cm="1">
        <f t="array" ref="F16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16" s="2">
        <f>_xlfn.XLOOKUP(Table1[[#This Row],[City]],$P$3:$P$16,$Q$3:$Q$16,0,0)</f>
        <v>1500</v>
      </c>
      <c r="H16" s="2">
        <f>Table1[[#This Row],[Salary]]+Table1[[#This Row],[Bonus]]+Table1[[#This Row],[Allowance]]</f>
        <v>25500</v>
      </c>
      <c r="I16" s="2" t="str">
        <f>IF(Table1[[#This Row],[Total Salary]]&gt;40000,"High Paid","Normal")</f>
        <v>Normal</v>
      </c>
      <c r="P16" s="2" t="s">
        <v>45</v>
      </c>
      <c r="Q16" s="2">
        <v>1900</v>
      </c>
    </row>
    <row r="17" spans="1:12" x14ac:dyDescent="0.3">
      <c r="A17" s="6">
        <v>116</v>
      </c>
      <c r="B17" s="2" t="s">
        <v>35</v>
      </c>
      <c r="C17" s="2" t="s">
        <v>18</v>
      </c>
      <c r="D17" s="2" t="s">
        <v>16</v>
      </c>
      <c r="E17" s="7">
        <v>31000</v>
      </c>
      <c r="F17" s="2" cm="1">
        <f t="array" ref="F17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17" s="2">
        <f>_xlfn.XLOOKUP(Table1[[#This Row],[City]],$P$3:$P$16,$Q$3:$Q$16,0,0)</f>
        <v>1800</v>
      </c>
      <c r="H17" s="2">
        <f>Table1[[#This Row],[Salary]]+Table1[[#This Row],[Bonus]]+Table1[[#This Row],[Allowance]]</f>
        <v>35300</v>
      </c>
      <c r="I17" s="2" t="str">
        <f>IF(Table1[[#This Row],[Total Salary]]&gt;40000,"High Paid","Normal")</f>
        <v>Normal</v>
      </c>
      <c r="J17" s="16" t="s">
        <v>3</v>
      </c>
      <c r="K17" s="15" t="s">
        <v>75</v>
      </c>
    </row>
    <row r="18" spans="1:12" x14ac:dyDescent="0.3">
      <c r="A18" s="6">
        <v>117</v>
      </c>
      <c r="B18" s="2" t="s">
        <v>36</v>
      </c>
      <c r="C18" s="2" t="s">
        <v>12</v>
      </c>
      <c r="D18" s="2" t="s">
        <v>10</v>
      </c>
      <c r="E18" s="7">
        <v>30000</v>
      </c>
      <c r="F18" s="2" cm="1">
        <f t="array" ref="F18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18" s="2">
        <f>_xlfn.XLOOKUP(Table1[[#This Row],[City]],$P$3:$P$16,$Q$3:$Q$16,0,0)</f>
        <v>3000</v>
      </c>
      <c r="H18" s="2">
        <f>Table1[[#This Row],[Salary]]+Table1[[#This Row],[Bonus]]+Table1[[#This Row],[Allowance]]</f>
        <v>37000</v>
      </c>
      <c r="I18" s="2" t="str">
        <f>IF(Table1[[#This Row],[Total Salary]]&gt;40000,"High Paid","Normal")</f>
        <v>Normal</v>
      </c>
      <c r="J18" s="17" t="s">
        <v>7</v>
      </c>
      <c r="K18" s="11">
        <f>_xlfn.XLOOKUP(J18,Table1[City],Table1[Allowance],,0)</f>
        <v>1500</v>
      </c>
    </row>
    <row r="19" spans="1:12" x14ac:dyDescent="0.3">
      <c r="A19" s="6">
        <v>118</v>
      </c>
      <c r="B19" s="2" t="s">
        <v>37</v>
      </c>
      <c r="C19" s="2" t="s">
        <v>15</v>
      </c>
      <c r="D19" s="2" t="s">
        <v>38</v>
      </c>
      <c r="E19" s="7">
        <v>26000</v>
      </c>
      <c r="F19" s="2" cm="1">
        <f t="array" ref="F19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19" s="2">
        <f>_xlfn.XLOOKUP(Table1[[#This Row],[City]],$P$3:$P$16,$Q$3:$Q$16,0,0)</f>
        <v>2200</v>
      </c>
      <c r="H19" s="2">
        <f>Table1[[#This Row],[Salary]]+Table1[[#This Row],[Bonus]]+Table1[[#This Row],[Allowance]]</f>
        <v>31200</v>
      </c>
      <c r="I19" s="2" t="str">
        <f>IF(Table1[[#This Row],[Total Salary]]&gt;40000,"High Paid","Normal")</f>
        <v>Normal</v>
      </c>
      <c r="J19" s="17" t="s">
        <v>22</v>
      </c>
      <c r="K19" s="11">
        <f>_xlfn.XLOOKUP(J19,Table1[City],Table1[Allowance],,0)</f>
        <v>1700</v>
      </c>
    </row>
    <row r="20" spans="1:12" x14ac:dyDescent="0.3">
      <c r="A20" s="6">
        <v>119</v>
      </c>
      <c r="B20" s="2" t="s">
        <v>39</v>
      </c>
      <c r="C20" s="2" t="s">
        <v>6</v>
      </c>
      <c r="D20" s="2" t="s">
        <v>40</v>
      </c>
      <c r="E20" s="7">
        <v>28000</v>
      </c>
      <c r="F20" s="2" cm="1">
        <f t="array" ref="F20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20" s="2">
        <f>_xlfn.XLOOKUP(Table1[[#This Row],[City]],$P$3:$P$16,$Q$3:$Q$16,0,0)</f>
        <v>1500</v>
      </c>
      <c r="H20" s="2">
        <f>Table1[[#This Row],[Salary]]+Table1[[#This Row],[Bonus]]+Table1[[#This Row],[Allowance]]</f>
        <v>31500</v>
      </c>
      <c r="I20" s="2" t="str">
        <f>IF(Table1[[#This Row],[Total Salary]]&gt;40000,"High Paid","Normal")</f>
        <v>Normal</v>
      </c>
    </row>
    <row r="21" spans="1:12" ht="18" x14ac:dyDescent="0.3">
      <c r="A21" s="6">
        <v>120</v>
      </c>
      <c r="B21" s="2" t="s">
        <v>41</v>
      </c>
      <c r="C21" s="2" t="s">
        <v>9</v>
      </c>
      <c r="D21" s="2" t="s">
        <v>19</v>
      </c>
      <c r="E21" s="7">
        <v>34000</v>
      </c>
      <c r="F21" s="2" cm="1">
        <f t="array" ref="F21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21" s="2">
        <f>_xlfn.XLOOKUP(Table1[[#This Row],[City]],$P$3:$P$16,$Q$3:$Q$16,0,0)</f>
        <v>1600</v>
      </c>
      <c r="H21" s="2">
        <f>Table1[[#This Row],[Salary]]+Table1[[#This Row],[Bonus]]+Table1[[#This Row],[Allowance]]</f>
        <v>40600</v>
      </c>
      <c r="I21" s="2" t="str">
        <f>IF(Table1[[#This Row],[Total Salary]]&gt;40000,"High Paid","Normal")</f>
        <v>High Paid</v>
      </c>
      <c r="J21" s="25" t="s">
        <v>80</v>
      </c>
      <c r="K21" s="25"/>
      <c r="L21" s="25"/>
    </row>
    <row r="22" spans="1:12" x14ac:dyDescent="0.3">
      <c r="A22" s="6">
        <v>121</v>
      </c>
      <c r="B22" s="2" t="s">
        <v>42</v>
      </c>
      <c r="C22" s="2" t="s">
        <v>12</v>
      </c>
      <c r="D22" s="2" t="s">
        <v>22</v>
      </c>
      <c r="E22" s="7">
        <v>25000</v>
      </c>
      <c r="F22" s="2" cm="1">
        <f t="array" ref="F22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22" s="2">
        <f>_xlfn.XLOOKUP(Table1[[#This Row],[City]],$P$3:$P$16,$Q$3:$Q$16,0,0)</f>
        <v>1700</v>
      </c>
      <c r="H22" s="2">
        <f>Table1[[#This Row],[Salary]]+Table1[[#This Row],[Bonus]]+Table1[[#This Row],[Allowance]]</f>
        <v>30700</v>
      </c>
      <c r="I22" s="2" t="str">
        <f>IF(Table1[[#This Row],[Total Salary]]&gt;40000,"High Paid","Normal")</f>
        <v>Normal</v>
      </c>
    </row>
    <row r="23" spans="1:12" ht="18" x14ac:dyDescent="0.3">
      <c r="A23" s="6">
        <v>122</v>
      </c>
      <c r="B23" s="2" t="s">
        <v>43</v>
      </c>
      <c r="C23" s="2" t="s">
        <v>18</v>
      </c>
      <c r="D23" s="2" t="s">
        <v>7</v>
      </c>
      <c r="E23" s="7">
        <v>29000</v>
      </c>
      <c r="F23" s="2" cm="1">
        <f t="array" ref="F23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23" s="2">
        <f>_xlfn.XLOOKUP(Table1[[#This Row],[City]],$P$3:$P$16,$Q$3:$Q$16,0,0)</f>
        <v>1500</v>
      </c>
      <c r="H23" s="2">
        <f>Table1[[#This Row],[Salary]]+Table1[[#This Row],[Bonus]]+Table1[[#This Row],[Allowance]]</f>
        <v>33000</v>
      </c>
      <c r="I23" s="2" t="str">
        <f>IF(Table1[[#This Row],[Total Salary]]&gt;40000,"High Paid","Normal")</f>
        <v>Normal</v>
      </c>
      <c r="J23" s="18" t="s">
        <v>82</v>
      </c>
      <c r="K23" s="19"/>
      <c r="L23" s="19"/>
    </row>
    <row r="24" spans="1:12" x14ac:dyDescent="0.3">
      <c r="A24" s="6">
        <v>123</v>
      </c>
      <c r="B24" s="2" t="s">
        <v>44</v>
      </c>
      <c r="C24" s="2" t="s">
        <v>15</v>
      </c>
      <c r="D24" s="2" t="s">
        <v>45</v>
      </c>
      <c r="E24" s="7">
        <v>27000</v>
      </c>
      <c r="F24" s="2" cm="1">
        <f t="array" ref="F24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24" s="2">
        <f>_xlfn.XLOOKUP(Table1[[#This Row],[City]],$P$3:$P$16,$Q$3:$Q$16,0,0)</f>
        <v>1900</v>
      </c>
      <c r="H24" s="2">
        <f>Table1[[#This Row],[Salary]]+Table1[[#This Row],[Bonus]]+Table1[[#This Row],[Allowance]]</f>
        <v>31900</v>
      </c>
      <c r="I24" s="2" t="str">
        <f>IF(Table1[[#This Row],[Total Salary]]&gt;40000,"High Paid","Normal")</f>
        <v>Normal</v>
      </c>
      <c r="J24" s="20" t="s">
        <v>83</v>
      </c>
      <c r="K24" s="21"/>
      <c r="L24" s="21"/>
    </row>
    <row r="25" spans="1:12" x14ac:dyDescent="0.3">
      <c r="A25" s="6">
        <v>124</v>
      </c>
      <c r="B25" s="2" t="s">
        <v>46</v>
      </c>
      <c r="C25" s="2" t="s">
        <v>6</v>
      </c>
      <c r="D25" s="2" t="s">
        <v>10</v>
      </c>
      <c r="E25" s="7">
        <v>26000</v>
      </c>
      <c r="F25" s="2" cm="1">
        <f t="array" ref="F25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25" s="2">
        <f>_xlfn.XLOOKUP(Table1[[#This Row],[City]],$P$3:$P$16,$Q$3:$Q$16,0,0)</f>
        <v>3000</v>
      </c>
      <c r="H25" s="2">
        <f>Table1[[#This Row],[Salary]]+Table1[[#This Row],[Bonus]]+Table1[[#This Row],[Allowance]]</f>
        <v>31000</v>
      </c>
      <c r="I25" s="2" t="str">
        <f>IF(Table1[[#This Row],[Total Salary]]&gt;40000,"High Paid","Normal")</f>
        <v>Normal</v>
      </c>
      <c r="J25" s="20" t="s">
        <v>84</v>
      </c>
      <c r="K25" s="21"/>
      <c r="L25" s="21"/>
    </row>
    <row r="26" spans="1:12" x14ac:dyDescent="0.3">
      <c r="A26" s="6">
        <v>125</v>
      </c>
      <c r="B26" s="2" t="s">
        <v>47</v>
      </c>
      <c r="C26" s="2" t="s">
        <v>9</v>
      </c>
      <c r="D26" s="2" t="s">
        <v>26</v>
      </c>
      <c r="E26" s="7">
        <v>33000</v>
      </c>
      <c r="F26" s="2" cm="1">
        <f t="array" ref="F26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26" s="2">
        <f>_xlfn.XLOOKUP(Table1[[#This Row],[City]],$P$3:$P$16,$Q$3:$Q$16,0,0)</f>
        <v>2500</v>
      </c>
      <c r="H26" s="2">
        <f>Table1[[#This Row],[Salary]]+Table1[[#This Row],[Bonus]]+Table1[[#This Row],[Allowance]]</f>
        <v>40500</v>
      </c>
      <c r="I26" s="2" t="str">
        <f>IF(Table1[[#This Row],[Total Salary]]&gt;40000,"High Paid","Normal")</f>
        <v>High Paid</v>
      </c>
    </row>
    <row r="27" spans="1:12" x14ac:dyDescent="0.3">
      <c r="A27" s="6">
        <v>126</v>
      </c>
      <c r="B27" s="2" t="s">
        <v>48</v>
      </c>
      <c r="C27" s="2" t="s">
        <v>12</v>
      </c>
      <c r="D27" s="2" t="s">
        <v>24</v>
      </c>
      <c r="E27" s="7">
        <v>35000</v>
      </c>
      <c r="F27" s="2" cm="1">
        <f t="array" ref="F27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27" s="2">
        <f>_xlfn.XLOOKUP(Table1[[#This Row],[City]],$P$3:$P$16,$Q$3:$Q$16,0,0)</f>
        <v>1400</v>
      </c>
      <c r="H27" s="2">
        <f>Table1[[#This Row],[Salary]]+Table1[[#This Row],[Bonus]]+Table1[[#This Row],[Allowance]]</f>
        <v>40400</v>
      </c>
      <c r="I27" s="2" t="str">
        <f>IF(Table1[[#This Row],[Total Salary]]&gt;40000,"High Paid","Normal")</f>
        <v>High Paid</v>
      </c>
    </row>
    <row r="28" spans="1:12" x14ac:dyDescent="0.3">
      <c r="A28" s="6">
        <v>127</v>
      </c>
      <c r="B28" s="2" t="s">
        <v>49</v>
      </c>
      <c r="C28" s="2" t="s">
        <v>18</v>
      </c>
      <c r="D28" s="2" t="s">
        <v>7</v>
      </c>
      <c r="E28" s="7">
        <v>30000</v>
      </c>
      <c r="F28" s="2" cm="1">
        <f t="array" ref="F28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28" s="2">
        <f>_xlfn.XLOOKUP(Table1[[#This Row],[City]],$P$3:$P$16,$Q$3:$Q$16,0,0)</f>
        <v>1500</v>
      </c>
      <c r="H28" s="2">
        <f>Table1[[#This Row],[Salary]]+Table1[[#This Row],[Bonus]]+Table1[[#This Row],[Allowance]]</f>
        <v>34000</v>
      </c>
      <c r="I28" s="2" t="str">
        <f>IF(Table1[[#This Row],[Total Salary]]&gt;40000,"High Paid","Normal")</f>
        <v>Normal</v>
      </c>
    </row>
    <row r="29" spans="1:12" x14ac:dyDescent="0.3">
      <c r="A29" s="6">
        <v>128</v>
      </c>
      <c r="B29" s="2" t="s">
        <v>50</v>
      </c>
      <c r="C29" s="2" t="s">
        <v>15</v>
      </c>
      <c r="D29" s="2" t="s">
        <v>13</v>
      </c>
      <c r="E29" s="7">
        <v>24000</v>
      </c>
      <c r="F29" s="2" cm="1">
        <f t="array" ref="F29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29" s="2">
        <f>_xlfn.XLOOKUP(Table1[[#This Row],[City]],$P$3:$P$16,$Q$3:$Q$16,0,0)</f>
        <v>2000</v>
      </c>
      <c r="H29" s="2">
        <f>Table1[[#This Row],[Salary]]+Table1[[#This Row],[Bonus]]+Table1[[#This Row],[Allowance]]</f>
        <v>29000</v>
      </c>
      <c r="I29" s="2" t="str">
        <f>IF(Table1[[#This Row],[Total Salary]]&gt;40000,"High Paid","Normal")</f>
        <v>Normal</v>
      </c>
    </row>
    <row r="30" spans="1:12" x14ac:dyDescent="0.3">
      <c r="A30" s="6">
        <v>129</v>
      </c>
      <c r="B30" s="2" t="s">
        <v>51</v>
      </c>
      <c r="C30" s="2" t="s">
        <v>6</v>
      </c>
      <c r="D30" s="2" t="s">
        <v>16</v>
      </c>
      <c r="E30" s="7">
        <v>31000</v>
      </c>
      <c r="F30" s="2" cm="1">
        <f t="array" ref="F30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30" s="2">
        <f>_xlfn.XLOOKUP(Table1[[#This Row],[City]],$P$3:$P$16,$Q$3:$Q$16,0,0)</f>
        <v>1800</v>
      </c>
      <c r="H30" s="2">
        <f>Table1[[#This Row],[Salary]]+Table1[[#This Row],[Bonus]]+Table1[[#This Row],[Allowance]]</f>
        <v>34800</v>
      </c>
      <c r="I30" s="2" t="str">
        <f>IF(Table1[[#This Row],[Total Salary]]&gt;40000,"High Paid","Normal")</f>
        <v>Normal</v>
      </c>
    </row>
    <row r="31" spans="1:12" x14ac:dyDescent="0.3">
      <c r="A31" s="6">
        <v>130</v>
      </c>
      <c r="B31" s="2" t="s">
        <v>52</v>
      </c>
      <c r="C31" s="2" t="s">
        <v>9</v>
      </c>
      <c r="D31" s="2" t="s">
        <v>7</v>
      </c>
      <c r="E31" s="7">
        <v>36000</v>
      </c>
      <c r="F31" s="2" cm="1">
        <f t="array" ref="F31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31" s="2">
        <f>_xlfn.XLOOKUP(Table1[[#This Row],[City]],$P$3:$P$16,$Q$3:$Q$16,0,0)</f>
        <v>1500</v>
      </c>
      <c r="H31" s="2">
        <f>Table1[[#This Row],[Salary]]+Table1[[#This Row],[Bonus]]+Table1[[#This Row],[Allowance]]</f>
        <v>42500</v>
      </c>
      <c r="I31" s="2" t="str">
        <f>IF(Table1[[#This Row],[Total Salary]]&gt;40000,"High Paid","Normal")</f>
        <v>High Paid</v>
      </c>
    </row>
    <row r="32" spans="1:12" x14ac:dyDescent="0.3">
      <c r="A32" s="6">
        <v>131</v>
      </c>
      <c r="B32" s="2" t="s">
        <v>53</v>
      </c>
      <c r="C32" s="2" t="s">
        <v>12</v>
      </c>
      <c r="D32" s="2" t="s">
        <v>54</v>
      </c>
      <c r="E32" s="7">
        <v>32000</v>
      </c>
      <c r="F32" s="2" cm="1">
        <f t="array" ref="F32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32" s="2">
        <f>_xlfn.XLOOKUP(Table1[[#This Row],[City]],$P$3:$P$16,$Q$3:$Q$16,0,0)</f>
        <v>2100</v>
      </c>
      <c r="H32" s="2">
        <f>Table1[[#This Row],[Salary]]+Table1[[#This Row],[Bonus]]+Table1[[#This Row],[Allowance]]</f>
        <v>38100</v>
      </c>
      <c r="I32" s="2" t="str">
        <f>IF(Table1[[#This Row],[Total Salary]]&gt;40000,"High Paid","Normal")</f>
        <v>Normal</v>
      </c>
    </row>
    <row r="33" spans="1:9" x14ac:dyDescent="0.3">
      <c r="A33" s="6">
        <v>132</v>
      </c>
      <c r="B33" s="2" t="s">
        <v>55</v>
      </c>
      <c r="C33" s="2" t="s">
        <v>18</v>
      </c>
      <c r="D33" s="2" t="s">
        <v>10</v>
      </c>
      <c r="E33" s="7">
        <v>28000</v>
      </c>
      <c r="F33" s="2" cm="1">
        <f t="array" ref="F33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33" s="2">
        <f>_xlfn.XLOOKUP(Table1[[#This Row],[City]],$P$3:$P$16,$Q$3:$Q$16,0,0)</f>
        <v>3000</v>
      </c>
      <c r="H33" s="2">
        <f>Table1[[#This Row],[Salary]]+Table1[[#This Row],[Bonus]]+Table1[[#This Row],[Allowance]]</f>
        <v>33500</v>
      </c>
      <c r="I33" s="2" t="str">
        <f>IF(Table1[[#This Row],[Total Salary]]&gt;40000,"High Paid","Normal")</f>
        <v>Normal</v>
      </c>
    </row>
    <row r="34" spans="1:9" x14ac:dyDescent="0.3">
      <c r="A34" s="6">
        <v>133</v>
      </c>
      <c r="B34" s="2" t="s">
        <v>56</v>
      </c>
      <c r="C34" s="2" t="s">
        <v>15</v>
      </c>
      <c r="D34" s="2" t="s">
        <v>22</v>
      </c>
      <c r="E34" s="7">
        <v>23000</v>
      </c>
      <c r="F34" s="2" cm="1">
        <f t="array" ref="F34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34" s="2">
        <f>_xlfn.XLOOKUP(Table1[[#This Row],[City]],$P$3:$P$16,$Q$3:$Q$16,0,0)</f>
        <v>1700</v>
      </c>
      <c r="H34" s="2">
        <f>Table1[[#This Row],[Salary]]+Table1[[#This Row],[Bonus]]+Table1[[#This Row],[Allowance]]</f>
        <v>27700</v>
      </c>
      <c r="I34" s="2" t="str">
        <f>IF(Table1[[#This Row],[Total Salary]]&gt;40000,"High Paid","Normal")</f>
        <v>Normal</v>
      </c>
    </row>
    <row r="35" spans="1:9" x14ac:dyDescent="0.3">
      <c r="A35" s="6">
        <v>134</v>
      </c>
      <c r="B35" s="2" t="s">
        <v>57</v>
      </c>
      <c r="C35" s="2" t="s">
        <v>9</v>
      </c>
      <c r="D35" s="2" t="s">
        <v>26</v>
      </c>
      <c r="E35" s="7">
        <v>37000</v>
      </c>
      <c r="F35" s="2" cm="1">
        <f t="array" ref="F35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35" s="2">
        <f>_xlfn.XLOOKUP(Table1[[#This Row],[City]],$P$3:$P$16,$Q$3:$Q$16,0,0)</f>
        <v>2500</v>
      </c>
      <c r="H35" s="2">
        <f>Table1[[#This Row],[Salary]]+Table1[[#This Row],[Bonus]]+Table1[[#This Row],[Allowance]]</f>
        <v>44500</v>
      </c>
      <c r="I35" s="2" t="str">
        <f>IF(Table1[[#This Row],[Total Salary]]&gt;40000,"High Paid","Normal")</f>
        <v>High Paid</v>
      </c>
    </row>
    <row r="36" spans="1:9" x14ac:dyDescent="0.3">
      <c r="A36" s="6">
        <v>135</v>
      </c>
      <c r="B36" s="2" t="s">
        <v>58</v>
      </c>
      <c r="C36" s="2" t="s">
        <v>6</v>
      </c>
      <c r="D36" s="2" t="s">
        <v>19</v>
      </c>
      <c r="E36" s="7">
        <v>30000</v>
      </c>
      <c r="F36" s="2" cm="1">
        <f t="array" ref="F36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36" s="2">
        <f>_xlfn.XLOOKUP(Table1[[#This Row],[City]],$P$3:$P$16,$Q$3:$Q$16,0,0)</f>
        <v>1600</v>
      </c>
      <c r="H36" s="2">
        <f>Table1[[#This Row],[Salary]]+Table1[[#This Row],[Bonus]]+Table1[[#This Row],[Allowance]]</f>
        <v>33600</v>
      </c>
      <c r="I36" s="2" t="str">
        <f>IF(Table1[[#This Row],[Total Salary]]&gt;40000,"High Paid","Normal")</f>
        <v>Normal</v>
      </c>
    </row>
    <row r="37" spans="1:9" x14ac:dyDescent="0.3">
      <c r="A37" s="6">
        <v>136</v>
      </c>
      <c r="B37" s="2" t="s">
        <v>59</v>
      </c>
      <c r="C37" s="2" t="s">
        <v>12</v>
      </c>
      <c r="D37" s="2" t="s">
        <v>60</v>
      </c>
      <c r="E37" s="7">
        <v>28000</v>
      </c>
      <c r="F37" s="2" cm="1">
        <f t="array" ref="F37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37" s="2">
        <f>_xlfn.XLOOKUP(Table1[[#This Row],[City]],$P$3:$P$16,$Q$3:$Q$16,0,0)</f>
        <v>2000</v>
      </c>
      <c r="H37" s="2">
        <f>Table1[[#This Row],[Salary]]+Table1[[#This Row],[Bonus]]+Table1[[#This Row],[Allowance]]</f>
        <v>34000</v>
      </c>
      <c r="I37" s="2" t="str">
        <f>IF(Table1[[#This Row],[Total Salary]]&gt;40000,"High Paid","Normal")</f>
        <v>Normal</v>
      </c>
    </row>
    <row r="38" spans="1:9" x14ac:dyDescent="0.3">
      <c r="A38" s="6">
        <v>137</v>
      </c>
      <c r="B38" s="2" t="s">
        <v>61</v>
      </c>
      <c r="C38" s="2" t="s">
        <v>18</v>
      </c>
      <c r="D38" s="2" t="s">
        <v>7</v>
      </c>
      <c r="E38" s="7">
        <v>31000</v>
      </c>
      <c r="F38" s="2" cm="1">
        <f t="array" ref="F38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38" s="2">
        <f>_xlfn.XLOOKUP(Table1[[#This Row],[City]],$P$3:$P$16,$Q$3:$Q$16,0,0)</f>
        <v>1500</v>
      </c>
      <c r="H38" s="2">
        <f>Table1[[#This Row],[Salary]]+Table1[[#This Row],[Bonus]]+Table1[[#This Row],[Allowance]]</f>
        <v>35000</v>
      </c>
      <c r="I38" s="2" t="str">
        <f>IF(Table1[[#This Row],[Total Salary]]&gt;40000,"High Paid","Normal")</f>
        <v>Normal</v>
      </c>
    </row>
    <row r="39" spans="1:9" x14ac:dyDescent="0.3">
      <c r="A39" s="6">
        <v>138</v>
      </c>
      <c r="B39" s="2" t="s">
        <v>62</v>
      </c>
      <c r="C39" s="2" t="s">
        <v>15</v>
      </c>
      <c r="D39" s="2" t="s">
        <v>24</v>
      </c>
      <c r="E39" s="7">
        <v>26000</v>
      </c>
      <c r="F39" s="2" cm="1">
        <f t="array" ref="F39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39" s="2">
        <f>_xlfn.XLOOKUP(Table1[[#This Row],[City]],$P$3:$P$16,$Q$3:$Q$16,0,0)</f>
        <v>1400</v>
      </c>
      <c r="H39" s="2">
        <f>Table1[[#This Row],[Salary]]+Table1[[#This Row],[Bonus]]+Table1[[#This Row],[Allowance]]</f>
        <v>30400</v>
      </c>
      <c r="I39" s="2" t="str">
        <f>IF(Table1[[#This Row],[Total Salary]]&gt;40000,"High Paid","Normal")</f>
        <v>Normal</v>
      </c>
    </row>
    <row r="40" spans="1:9" x14ac:dyDescent="0.3">
      <c r="A40" s="6">
        <v>139</v>
      </c>
      <c r="B40" s="2" t="s">
        <v>63</v>
      </c>
      <c r="C40" s="2" t="s">
        <v>6</v>
      </c>
      <c r="D40" s="2" t="s">
        <v>10</v>
      </c>
      <c r="E40" s="7">
        <v>29000</v>
      </c>
      <c r="F40" s="2" cm="1">
        <f t="array" ref="F40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40" s="2">
        <f>_xlfn.XLOOKUP(Table1[[#This Row],[City]],$P$3:$P$16,$Q$3:$Q$16,0,0)</f>
        <v>3000</v>
      </c>
      <c r="H40" s="2">
        <f>Table1[[#This Row],[Salary]]+Table1[[#This Row],[Bonus]]+Table1[[#This Row],[Allowance]]</f>
        <v>34000</v>
      </c>
      <c r="I40" s="2" t="str">
        <f>IF(Table1[[#This Row],[Total Salary]]&gt;40000,"High Paid","Normal")</f>
        <v>Normal</v>
      </c>
    </row>
    <row r="41" spans="1:9" x14ac:dyDescent="0.3">
      <c r="A41" s="6">
        <v>140</v>
      </c>
      <c r="B41" s="2" t="s">
        <v>64</v>
      </c>
      <c r="C41" s="2" t="s">
        <v>12</v>
      </c>
      <c r="D41" s="2" t="s">
        <v>16</v>
      </c>
      <c r="E41" s="7">
        <v>27000</v>
      </c>
      <c r="F41" s="2" cm="1">
        <f t="array" ref="F41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41" s="2">
        <f>_xlfn.XLOOKUP(Table1[[#This Row],[City]],$P$3:$P$16,$Q$3:$Q$16,0,0)</f>
        <v>1800</v>
      </c>
      <c r="H41" s="2">
        <f>Table1[[#This Row],[Salary]]+Table1[[#This Row],[Bonus]]+Table1[[#This Row],[Allowance]]</f>
        <v>32800</v>
      </c>
      <c r="I41" s="2" t="str">
        <f>IF(Table1[[#This Row],[Total Salary]]&gt;40000,"High Paid","Normal")</f>
        <v>Normal</v>
      </c>
    </row>
    <row r="42" spans="1:9" x14ac:dyDescent="0.3">
      <c r="A42" s="6">
        <v>141</v>
      </c>
      <c r="B42" s="2" t="s">
        <v>65</v>
      </c>
      <c r="C42" s="2" t="s">
        <v>9</v>
      </c>
      <c r="D42" s="2" t="s">
        <v>7</v>
      </c>
      <c r="E42" s="7">
        <v>38000</v>
      </c>
      <c r="F42" s="2" cm="1">
        <f t="array" ref="F42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42" s="2">
        <f>_xlfn.XLOOKUP(Table1[[#This Row],[City]],$P$3:$P$16,$Q$3:$Q$16,0,0)</f>
        <v>1500</v>
      </c>
      <c r="H42" s="2">
        <f>Table1[[#This Row],[Salary]]+Table1[[#This Row],[Bonus]]+Table1[[#This Row],[Allowance]]</f>
        <v>44500</v>
      </c>
      <c r="I42" s="2" t="str">
        <f>IF(Table1[[#This Row],[Total Salary]]&gt;40000,"High Paid","Normal")</f>
        <v>High Paid</v>
      </c>
    </row>
    <row r="43" spans="1:9" x14ac:dyDescent="0.3">
      <c r="A43" s="6">
        <v>142</v>
      </c>
      <c r="B43" s="2" t="s">
        <v>66</v>
      </c>
      <c r="C43" s="2" t="s">
        <v>15</v>
      </c>
      <c r="D43" s="2" t="s">
        <v>13</v>
      </c>
      <c r="E43" s="7">
        <v>30000</v>
      </c>
      <c r="F43" s="2" cm="1">
        <f t="array" ref="F43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43" s="2">
        <f>_xlfn.XLOOKUP(Table1[[#This Row],[City]],$P$3:$P$16,$Q$3:$Q$16,0,0)</f>
        <v>2000</v>
      </c>
      <c r="H43" s="2">
        <f>Table1[[#This Row],[Salary]]+Table1[[#This Row],[Bonus]]+Table1[[#This Row],[Allowance]]</f>
        <v>35000</v>
      </c>
      <c r="I43" s="2" t="str">
        <f>IF(Table1[[#This Row],[Total Salary]]&gt;40000,"High Paid","Normal")</f>
        <v>Normal</v>
      </c>
    </row>
    <row r="44" spans="1:9" x14ac:dyDescent="0.3">
      <c r="A44" s="6">
        <v>143</v>
      </c>
      <c r="B44" s="2" t="s">
        <v>67</v>
      </c>
      <c r="C44" s="2" t="s">
        <v>18</v>
      </c>
      <c r="D44" s="2" t="s">
        <v>40</v>
      </c>
      <c r="E44" s="7">
        <v>32000</v>
      </c>
      <c r="F44" s="2" cm="1">
        <f t="array" ref="F44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44" s="2">
        <f>_xlfn.XLOOKUP(Table1[[#This Row],[City]],$P$3:$P$16,$Q$3:$Q$16,0,0)</f>
        <v>1500</v>
      </c>
      <c r="H44" s="2">
        <f>Table1[[#This Row],[Salary]]+Table1[[#This Row],[Bonus]]+Table1[[#This Row],[Allowance]]</f>
        <v>36000</v>
      </c>
      <c r="I44" s="2" t="str">
        <f>IF(Table1[[#This Row],[Total Salary]]&gt;40000,"High Paid","Normal")</f>
        <v>Normal</v>
      </c>
    </row>
    <row r="45" spans="1:9" x14ac:dyDescent="0.3">
      <c r="A45" s="6">
        <v>144</v>
      </c>
      <c r="B45" s="2" t="s">
        <v>68</v>
      </c>
      <c r="C45" s="2" t="s">
        <v>6</v>
      </c>
      <c r="D45" s="2" t="s">
        <v>22</v>
      </c>
      <c r="E45" s="7">
        <v>24000</v>
      </c>
      <c r="F45" s="2" cm="1">
        <f t="array" ref="F45">_xlfn.IFS(Table1[[#This Row],[Department]]="HR",2000,Table1[[#This Row],[Department]]="IT",5000,Table1[[#This Row],[Department]]="Finance",4000,Table1[[#This Row],[Department]]="Marketing",3000,Table1[[#This Row],[Department]]="Sales",2500)</f>
        <v>2000</v>
      </c>
      <c r="G45" s="2">
        <f>_xlfn.XLOOKUP(Table1[[#This Row],[City]],$P$3:$P$16,$Q$3:$Q$16,0,0)</f>
        <v>1700</v>
      </c>
      <c r="H45" s="2">
        <f>Table1[[#This Row],[Salary]]+Table1[[#This Row],[Bonus]]+Table1[[#This Row],[Allowance]]</f>
        <v>27700</v>
      </c>
      <c r="I45" s="2" t="str">
        <f>IF(Table1[[#This Row],[Total Salary]]&gt;40000,"High Paid","Normal")</f>
        <v>Normal</v>
      </c>
    </row>
    <row r="46" spans="1:9" x14ac:dyDescent="0.3">
      <c r="A46" s="6">
        <v>145</v>
      </c>
      <c r="B46" s="2" t="s">
        <v>69</v>
      </c>
      <c r="C46" s="2" t="s">
        <v>9</v>
      </c>
      <c r="D46" s="2" t="s">
        <v>7</v>
      </c>
      <c r="E46" s="7">
        <v>35000</v>
      </c>
      <c r="F46" s="2" cm="1">
        <f t="array" ref="F46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46" s="2">
        <f>_xlfn.XLOOKUP(Table1[[#This Row],[City]],$P$3:$P$16,$Q$3:$Q$16,0,0)</f>
        <v>1500</v>
      </c>
      <c r="H46" s="2">
        <f>Table1[[#This Row],[Salary]]+Table1[[#This Row],[Bonus]]+Table1[[#This Row],[Allowance]]</f>
        <v>41500</v>
      </c>
      <c r="I46" s="2" t="str">
        <f>IF(Table1[[#This Row],[Total Salary]]&gt;40000,"High Paid","Normal")</f>
        <v>High Paid</v>
      </c>
    </row>
    <row r="47" spans="1:9" x14ac:dyDescent="0.3">
      <c r="A47" s="6">
        <v>146</v>
      </c>
      <c r="B47" s="2" t="s">
        <v>70</v>
      </c>
      <c r="C47" s="2" t="s">
        <v>12</v>
      </c>
      <c r="D47" s="2" t="s">
        <v>10</v>
      </c>
      <c r="E47" s="7">
        <v>31000</v>
      </c>
      <c r="F47" s="2" cm="1">
        <f t="array" ref="F47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47" s="2">
        <f>_xlfn.XLOOKUP(Table1[[#This Row],[City]],$P$3:$P$16,$Q$3:$Q$16,0,0)</f>
        <v>3000</v>
      </c>
      <c r="H47" s="2">
        <f>Table1[[#This Row],[Salary]]+Table1[[#This Row],[Bonus]]+Table1[[#This Row],[Allowance]]</f>
        <v>38000</v>
      </c>
      <c r="I47" s="2" t="str">
        <f>IF(Table1[[#This Row],[Total Salary]]&gt;40000,"High Paid","Normal")</f>
        <v>Normal</v>
      </c>
    </row>
    <row r="48" spans="1:9" x14ac:dyDescent="0.3">
      <c r="A48" s="6">
        <v>147</v>
      </c>
      <c r="B48" s="2" t="s">
        <v>71</v>
      </c>
      <c r="C48" s="2" t="s">
        <v>15</v>
      </c>
      <c r="D48" s="2" t="s">
        <v>26</v>
      </c>
      <c r="E48" s="7">
        <v>28000</v>
      </c>
      <c r="F48" s="2" cm="1">
        <f t="array" ref="F48">_xlfn.IFS(Table1[[#This Row],[Department]]="HR",2000,Table1[[#This Row],[Department]]="IT",5000,Table1[[#This Row],[Department]]="Finance",4000,Table1[[#This Row],[Department]]="Marketing",3000,Table1[[#This Row],[Department]]="Sales",2500)</f>
        <v>3000</v>
      </c>
      <c r="G48" s="2">
        <f>_xlfn.XLOOKUP(Table1[[#This Row],[City]],$P$3:$P$16,$Q$3:$Q$16,0,0)</f>
        <v>2500</v>
      </c>
      <c r="H48" s="2">
        <f>Table1[[#This Row],[Salary]]+Table1[[#This Row],[Bonus]]+Table1[[#This Row],[Allowance]]</f>
        <v>33500</v>
      </c>
      <c r="I48" s="2" t="str">
        <f>IF(Table1[[#This Row],[Total Salary]]&gt;40000,"High Paid","Normal")</f>
        <v>Normal</v>
      </c>
    </row>
    <row r="49" spans="1:11" x14ac:dyDescent="0.3">
      <c r="A49" s="6">
        <v>148</v>
      </c>
      <c r="B49" s="2" t="s">
        <v>72</v>
      </c>
      <c r="C49" s="2" t="s">
        <v>18</v>
      </c>
      <c r="D49" s="2" t="s">
        <v>19</v>
      </c>
      <c r="E49" s="7">
        <v>33000</v>
      </c>
      <c r="F49" s="2" cm="1">
        <f t="array" ref="F49">_xlfn.IFS(Table1[[#This Row],[Department]]="HR",2000,Table1[[#This Row],[Department]]="IT",5000,Table1[[#This Row],[Department]]="Finance",4000,Table1[[#This Row],[Department]]="Marketing",3000,Table1[[#This Row],[Department]]="Sales",2500)</f>
        <v>2500</v>
      </c>
      <c r="G49" s="2">
        <f>_xlfn.XLOOKUP(Table1[[#This Row],[City]],$P$3:$P$16,$Q$3:$Q$16,0,0)</f>
        <v>1600</v>
      </c>
      <c r="H49" s="2">
        <f>Table1[[#This Row],[Salary]]+Table1[[#This Row],[Bonus]]+Table1[[#This Row],[Allowance]]</f>
        <v>37100</v>
      </c>
      <c r="I49" s="2" t="str">
        <f>IF(Table1[[#This Row],[Total Salary]]&gt;40000,"High Paid","Normal")</f>
        <v>Normal</v>
      </c>
    </row>
    <row r="50" spans="1:11" x14ac:dyDescent="0.3">
      <c r="A50" s="6">
        <v>149</v>
      </c>
      <c r="B50" s="2" t="s">
        <v>73</v>
      </c>
      <c r="C50" s="2" t="s">
        <v>9</v>
      </c>
      <c r="D50" s="2" t="s">
        <v>7</v>
      </c>
      <c r="E50" s="7">
        <v>36000</v>
      </c>
      <c r="F50" s="2" cm="1">
        <f t="array" ref="F50">_xlfn.IFS(Table1[[#This Row],[Department]]="HR",2000,Table1[[#This Row],[Department]]="IT",5000,Table1[[#This Row],[Department]]="Finance",4000,Table1[[#This Row],[Department]]="Marketing",3000,Table1[[#This Row],[Department]]="Sales",2500)</f>
        <v>5000</v>
      </c>
      <c r="G50" s="2">
        <f>_xlfn.XLOOKUP(Table1[[#This Row],[City]],$P$3:$P$16,$Q$3:$Q$16,0,0)</f>
        <v>1500</v>
      </c>
      <c r="H50" s="2">
        <f>Table1[[#This Row],[Salary]]+Table1[[#This Row],[Bonus]]+Table1[[#This Row],[Allowance]]</f>
        <v>42500</v>
      </c>
      <c r="I50" s="2" t="str">
        <f>IF(Table1[[#This Row],[Total Salary]]&gt;40000,"High Paid","Normal")</f>
        <v>High Paid</v>
      </c>
    </row>
    <row r="51" spans="1:11" x14ac:dyDescent="0.3">
      <c r="A51" s="8">
        <v>150</v>
      </c>
      <c r="B51" s="9" t="s">
        <v>74</v>
      </c>
      <c r="C51" s="9" t="s">
        <v>12</v>
      </c>
      <c r="D51" s="9" t="s">
        <v>33</v>
      </c>
      <c r="E51" s="10">
        <v>34000</v>
      </c>
      <c r="F51" s="9" cm="1">
        <f t="array" ref="F51">_xlfn.IFS(Table1[[#This Row],[Department]]="HR",2000,Table1[[#This Row],[Department]]="IT",5000,Table1[[#This Row],[Department]]="Finance",4000,Table1[[#This Row],[Department]]="Marketing",3000,Table1[[#This Row],[Department]]="Sales",2500)</f>
        <v>4000</v>
      </c>
      <c r="G51" s="9">
        <f>_xlfn.XLOOKUP(Table1[[#This Row],[City]],$P$3:$P$16,$Q$3:$Q$16,0,0)</f>
        <v>2800</v>
      </c>
      <c r="H51" s="2">
        <f>Table1[[#This Row],[Salary]]+Table1[[#This Row],[Bonus]]+Table1[[#This Row],[Allowance]]</f>
        <v>40800</v>
      </c>
      <c r="I51" s="2" t="str">
        <f>IF(Table1[[#This Row],[Total Salary]]&gt;40000,"High Paid","Normal")</f>
        <v>High Paid</v>
      </c>
    </row>
    <row r="52" spans="1:11" x14ac:dyDescent="0.3">
      <c r="K52">
        <f>COUNTIF(I3:I51,"High Paid")</f>
        <v>12</v>
      </c>
    </row>
  </sheetData>
  <mergeCells count="8">
    <mergeCell ref="J23:L23"/>
    <mergeCell ref="J24:L24"/>
    <mergeCell ref="J25:L25"/>
    <mergeCell ref="P1:Q1"/>
    <mergeCell ref="M1:N1"/>
    <mergeCell ref="J8:L8"/>
    <mergeCell ref="J15:L15"/>
    <mergeCell ref="J21:L2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2026-03-21T00:30:10Z</dcterms:created>
  <dcterms:modified xsi:type="dcterms:W3CDTF">2026-03-23T01:00:26Z</dcterms:modified>
</cp:coreProperties>
</file>