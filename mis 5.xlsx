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E6CAA475-CDEA-4406-ACA3-827981F7E6CD}" xr6:coauthVersionLast="47" xr6:coauthVersionMax="47" xr10:uidLastSave="{00000000-0000-0000-0000-000000000000}"/>
  <bookViews>
    <workbookView xWindow="-108" yWindow="-108" windowWidth="23256" windowHeight="12456" activeTab="1" xr2:uid="{CD45C9C5-6505-44D2-8140-B31A080D0FB5}"/>
  </bookViews>
  <sheets>
    <sheet name="👉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M20" i="1"/>
  <c r="L1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L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<sst xmlns="http://schemas.openxmlformats.org/spreadsheetml/2006/main" count="239" uniqueCount="77">
  <si>
    <t>Date</t>
  </si>
  <si>
    <t>Employee</t>
  </si>
  <si>
    <t>Department</t>
  </si>
  <si>
    <t>Region</t>
  </si>
  <si>
    <t>Sales</t>
  </si>
  <si>
    <t>Target</t>
  </si>
  <si>
    <t>Amit</t>
  </si>
  <si>
    <t>Electronics</t>
  </si>
  <si>
    <t>North</t>
  </si>
  <si>
    <t>Rahul</t>
  </si>
  <si>
    <t>Grocery</t>
  </si>
  <si>
    <t>East</t>
  </si>
  <si>
    <t>Pooja</t>
  </si>
  <si>
    <t>Clothing</t>
  </si>
  <si>
    <t>West</t>
  </si>
  <si>
    <t>Neha</t>
  </si>
  <si>
    <t>South</t>
  </si>
  <si>
    <t>Rakesh</t>
  </si>
  <si>
    <t>Furniture</t>
  </si>
  <si>
    <t>Vikash</t>
  </si>
  <si>
    <t>Anjali</t>
  </si>
  <si>
    <t>Rohit</t>
  </si>
  <si>
    <t>Deepak</t>
  </si>
  <si>
    <t>Kiran</t>
  </si>
  <si>
    <t>Sunil</t>
  </si>
  <si>
    <t>Shweta</t>
  </si>
  <si>
    <t>13-07-2024</t>
  </si>
  <si>
    <t>Manoj</t>
  </si>
  <si>
    <t>14-07-2024</t>
  </si>
  <si>
    <t>Abhishek</t>
  </si>
  <si>
    <t>15-07-2024</t>
  </si>
  <si>
    <t>Nisha</t>
  </si>
  <si>
    <t>16-07-2024</t>
  </si>
  <si>
    <t>Ajay</t>
  </si>
  <si>
    <t>17-07-2024</t>
  </si>
  <si>
    <t>Ritu</t>
  </si>
  <si>
    <t>18-07-2024</t>
  </si>
  <si>
    <t>Mohit</t>
  </si>
  <si>
    <t>19-07-2024</t>
  </si>
  <si>
    <t>Rajesh</t>
  </si>
  <si>
    <t>20-07-2024</t>
  </si>
  <si>
    <t>Pankaj</t>
  </si>
  <si>
    <t>21-07-2024</t>
  </si>
  <si>
    <t>Sonali</t>
  </si>
  <si>
    <t>22-07-2024</t>
  </si>
  <si>
    <t>Vivek</t>
  </si>
  <si>
    <t>23-07-2024</t>
  </si>
  <si>
    <t>Alok</t>
  </si>
  <si>
    <t>24-07-2024</t>
  </si>
  <si>
    <t>Kavita</t>
  </si>
  <si>
    <t>25-07-2024</t>
  </si>
  <si>
    <t>Rohan</t>
  </si>
  <si>
    <t>26-07-2024</t>
  </si>
  <si>
    <t>Meena</t>
  </si>
  <si>
    <t>27-07-2024</t>
  </si>
  <si>
    <t>Sandeep</t>
  </si>
  <si>
    <t>28-07-2024</t>
  </si>
  <si>
    <t>Payal</t>
  </si>
  <si>
    <t>29-07-2024</t>
  </si>
  <si>
    <t>Prakash</t>
  </si>
  <si>
    <t>30-07-2024</t>
  </si>
  <si>
    <t>Akash</t>
  </si>
  <si>
    <t>31-07-2024</t>
  </si>
  <si>
    <t>Simran</t>
  </si>
  <si>
    <t>Status</t>
  </si>
  <si>
    <t>Bonus</t>
  </si>
  <si>
    <t>Performance</t>
  </si>
  <si>
    <t>Don’t look here if you want to look my work then go next page 👉</t>
  </si>
  <si>
    <t>Achive</t>
  </si>
  <si>
    <t>north</t>
  </si>
  <si>
    <t xml:space="preserve">Department </t>
  </si>
  <si>
    <t>sales</t>
  </si>
  <si>
    <t>Sales&gt;50000</t>
  </si>
  <si>
    <t xml:space="preserve">Find Region by sales&gt;50000 </t>
  </si>
  <si>
    <t xml:space="preserve">Find region by achive </t>
  </si>
  <si>
    <t>Find department by sales</t>
  </si>
  <si>
    <t>find  region + Sales &gt; 40000 + Department =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</si>
</sst>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2" borderId="0" xfId="0" applyFont="1" applyFill="1"/>
    <xf numFmtId="0" fontId="2" fillId="2" borderId="2" xfId="0" applyFont="1" applyFill="1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64" fontId="0" fillId="0" borderId="9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13D4D-603C-4ACD-BDD0-A88B8CDE3E2B}" name="Table1" displayName="Table1" ref="A1:I32" totalsRowShown="0" headerRowDxfId="0" dataDxfId="13" headerRowBorderDxfId="11" tableBorderDxfId="12" totalsRowBorderDxfId="10">
  <autoFilter ref="A1:I32" xr:uid="{41813D4D-603C-4ACD-BDD0-A88B8CDE3E2B}"/>
  <tableColumns count="9">
    <tableColumn id="1" xr3:uid="{3B869B54-84EA-42F0-9AC4-106C41C5ACE0}" name="Date" dataDxfId="9"/>
    <tableColumn id="2" xr3:uid="{3675A137-05A3-4E4D-853A-15B823B2B20D}" name="Employee" dataDxfId="8"/>
    <tableColumn id="3" xr3:uid="{4A314CDF-B381-45F8-821F-E44560A7C379}" name="Department" dataDxfId="7"/>
    <tableColumn id="4" xr3:uid="{DF7238D7-3114-461A-B4A1-BCD88A5D828A}" name="Region" dataDxfId="6"/>
    <tableColumn id="5" xr3:uid="{8B6878D0-D80B-4695-8C9C-5BC88065889E}" name="Sales" dataDxfId="5"/>
    <tableColumn id="6" xr3:uid="{E2F7F424-8621-41AA-95FC-0827259B6B5A}" name="Target" dataDxfId="4"/>
    <tableColumn id="7" xr3:uid="{66F61311-2054-4AE0-A5B0-D837FE36AADD}" name="Status" dataDxfId="3">
      <calculatedColumnFormula>IF(Table1[[#This Row],[Target]]&gt;Table1[[#This Row],[Sales]],"Achive","Not Achive")</calculatedColumnFormula>
    </tableColumn>
    <tableColumn id="8" xr3:uid="{FEDEF1CD-8550-496B-BAF9-E1A508235EE4}" name="Bonus" dataDxfId="2">
      <calculatedColumnFormula array="1">_xlfn.IFS(Table1[[#This Row],[Sales]]&gt;=60000,"8000",Table1[[#This Row],[Sales]]&gt;=40000,"5000",Table1[[#This Row],[Sales]]&lt;40000,"2000")</calculatedColumnFormula>
    </tableColumn>
    <tableColumn id="9" xr3:uid="{9E342883-EE2F-4AC2-A97E-BC8B74DFA7B7}" name="Performance" dataDxfId="1">
      <calculatedColumnFormula>IF(Table1[[#This Row],[Sales]]&gt;=50000,"High performar"," Low performer")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A7C-1614-4158-9021-0DE2F700ECA1}">
  <dimension ref="A1:L32"/>
  <sheetViews>
    <sheetView topLeftCell="A3" workbookViewId="0">
      <selection activeCell="G19" sqref="B19:G28"/>
    </sheetView>
  </sheetViews>
  <sheetFormatPr defaultColWidth="11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">
      <c r="A2" s="2">
        <v>45298</v>
      </c>
      <c r="B2" s="3" t="s">
        <v>6</v>
      </c>
      <c r="C2" s="3" t="s">
        <v>7</v>
      </c>
      <c r="D2" s="3" t="s">
        <v>8</v>
      </c>
      <c r="E2" s="3">
        <v>55000</v>
      </c>
      <c r="F2" s="3">
        <v>50000</v>
      </c>
    </row>
    <row r="3" spans="1:12" x14ac:dyDescent="0.3">
      <c r="A3" s="2">
        <v>45329</v>
      </c>
      <c r="B3" s="3" t="s">
        <v>9</v>
      </c>
      <c r="C3" s="3" t="s">
        <v>10</v>
      </c>
      <c r="D3" s="3" t="s">
        <v>11</v>
      </c>
      <c r="E3" s="3">
        <v>32000</v>
      </c>
      <c r="F3" s="3">
        <v>35000</v>
      </c>
    </row>
    <row r="4" spans="1:12" x14ac:dyDescent="0.3">
      <c r="A4" s="2">
        <v>45358</v>
      </c>
      <c r="B4" s="3" t="s">
        <v>12</v>
      </c>
      <c r="C4" s="3" t="s">
        <v>13</v>
      </c>
      <c r="D4" s="3" t="s">
        <v>14</v>
      </c>
      <c r="E4" s="3">
        <v>28000</v>
      </c>
      <c r="F4" s="3">
        <v>30000</v>
      </c>
    </row>
    <row r="5" spans="1:12" x14ac:dyDescent="0.3">
      <c r="A5" s="2">
        <v>45389</v>
      </c>
      <c r="B5" s="3" t="s">
        <v>15</v>
      </c>
      <c r="C5" s="3" t="s">
        <v>7</v>
      </c>
      <c r="D5" s="3" t="s">
        <v>16</v>
      </c>
      <c r="E5" s="3">
        <v>52000</v>
      </c>
      <c r="F5" s="3">
        <v>45000</v>
      </c>
      <c r="L5" s="4"/>
    </row>
    <row r="6" spans="1:12" x14ac:dyDescent="0.3">
      <c r="A6" s="2">
        <v>45419</v>
      </c>
      <c r="B6" s="3" t="s">
        <v>17</v>
      </c>
      <c r="C6" s="3" t="s">
        <v>18</v>
      </c>
      <c r="D6" s="3" t="s">
        <v>8</v>
      </c>
      <c r="E6" s="3">
        <v>61000</v>
      </c>
      <c r="F6" s="3">
        <v>50000</v>
      </c>
      <c r="L6" s="4"/>
    </row>
    <row r="7" spans="1:12" x14ac:dyDescent="0.3">
      <c r="A7" s="2">
        <v>45450</v>
      </c>
      <c r="B7" s="3" t="s">
        <v>19</v>
      </c>
      <c r="C7" s="3" t="s">
        <v>10</v>
      </c>
      <c r="D7" s="3" t="s">
        <v>11</v>
      </c>
      <c r="E7" s="3">
        <v>39000</v>
      </c>
      <c r="F7" s="3">
        <v>35000</v>
      </c>
      <c r="I7" s="11" t="s">
        <v>67</v>
      </c>
      <c r="J7" s="11"/>
      <c r="K7" s="11"/>
      <c r="L7" s="4"/>
    </row>
    <row r="8" spans="1:12" x14ac:dyDescent="0.3">
      <c r="A8" s="2">
        <v>45480</v>
      </c>
      <c r="B8" s="3" t="s">
        <v>20</v>
      </c>
      <c r="C8" s="3" t="s">
        <v>13</v>
      </c>
      <c r="D8" s="3" t="s">
        <v>16</v>
      </c>
      <c r="E8" s="3">
        <v>47000</v>
      </c>
      <c r="F8" s="3">
        <v>40000</v>
      </c>
      <c r="I8" s="11"/>
      <c r="J8" s="11"/>
      <c r="K8" s="11"/>
      <c r="L8" s="4"/>
    </row>
    <row r="9" spans="1:12" x14ac:dyDescent="0.3">
      <c r="A9" s="2">
        <v>45511</v>
      </c>
      <c r="B9" s="3" t="s">
        <v>21</v>
      </c>
      <c r="C9" s="3" t="s">
        <v>7</v>
      </c>
      <c r="D9" s="3" t="s">
        <v>14</v>
      </c>
      <c r="E9" s="3">
        <v>55000</v>
      </c>
      <c r="F9" s="3">
        <v>50000</v>
      </c>
      <c r="L9" s="4"/>
    </row>
    <row r="10" spans="1:12" x14ac:dyDescent="0.3">
      <c r="A10" s="2">
        <v>45542</v>
      </c>
      <c r="B10" s="3" t="s">
        <v>22</v>
      </c>
      <c r="C10" s="3" t="s">
        <v>18</v>
      </c>
      <c r="D10" s="3" t="s">
        <v>8</v>
      </c>
      <c r="E10" s="3">
        <v>26000</v>
      </c>
      <c r="F10" s="3">
        <v>30000</v>
      </c>
      <c r="L10" s="4"/>
    </row>
    <row r="11" spans="1:12" x14ac:dyDescent="0.3">
      <c r="A11" s="2">
        <v>45572</v>
      </c>
      <c r="B11" s="3" t="s">
        <v>23</v>
      </c>
      <c r="C11" s="3" t="s">
        <v>10</v>
      </c>
      <c r="D11" s="3" t="s">
        <v>16</v>
      </c>
      <c r="E11" s="3">
        <v>31000</v>
      </c>
      <c r="F11" s="3">
        <v>30000</v>
      </c>
    </row>
    <row r="12" spans="1:12" x14ac:dyDescent="0.3">
      <c r="A12" s="2">
        <v>45603</v>
      </c>
      <c r="B12" s="3" t="s">
        <v>24</v>
      </c>
      <c r="C12" s="3" t="s">
        <v>7</v>
      </c>
      <c r="D12" s="3" t="s">
        <v>11</v>
      </c>
      <c r="E12" s="3">
        <v>48000</v>
      </c>
      <c r="F12" s="3">
        <v>45000</v>
      </c>
    </row>
    <row r="13" spans="1:12" x14ac:dyDescent="0.3">
      <c r="A13" s="2">
        <v>45633</v>
      </c>
      <c r="B13" s="3" t="s">
        <v>25</v>
      </c>
      <c r="C13" s="3" t="s">
        <v>13</v>
      </c>
      <c r="D13" s="3" t="s">
        <v>14</v>
      </c>
      <c r="E13" s="3">
        <v>34000</v>
      </c>
      <c r="F13" s="3">
        <v>30000</v>
      </c>
    </row>
    <row r="14" spans="1:12" x14ac:dyDescent="0.3">
      <c r="A14" s="3" t="s">
        <v>26</v>
      </c>
      <c r="B14" s="3" t="s">
        <v>27</v>
      </c>
      <c r="C14" s="3" t="s">
        <v>18</v>
      </c>
      <c r="D14" s="3" t="s">
        <v>16</v>
      </c>
      <c r="E14" s="3">
        <v>42000</v>
      </c>
      <c r="F14" s="3">
        <v>40000</v>
      </c>
    </row>
    <row r="15" spans="1:12" x14ac:dyDescent="0.3">
      <c r="A15" s="3" t="s">
        <v>28</v>
      </c>
      <c r="B15" s="3" t="s">
        <v>29</v>
      </c>
      <c r="C15" s="3" t="s">
        <v>7</v>
      </c>
      <c r="D15" s="3" t="s">
        <v>8</v>
      </c>
      <c r="E15" s="3">
        <v>70000</v>
      </c>
      <c r="F15" s="3">
        <v>60000</v>
      </c>
    </row>
    <row r="16" spans="1:12" x14ac:dyDescent="0.3">
      <c r="A16" s="3" t="s">
        <v>30</v>
      </c>
      <c r="B16" s="3" t="s">
        <v>31</v>
      </c>
      <c r="C16" s="3" t="s">
        <v>10</v>
      </c>
      <c r="D16" s="3" t="s">
        <v>14</v>
      </c>
      <c r="E16" s="3">
        <v>29000</v>
      </c>
      <c r="F16" s="3">
        <v>30000</v>
      </c>
    </row>
    <row r="17" spans="1:6" x14ac:dyDescent="0.3">
      <c r="A17" s="3" t="s">
        <v>32</v>
      </c>
      <c r="B17" s="3" t="s">
        <v>33</v>
      </c>
      <c r="C17" s="3" t="s">
        <v>13</v>
      </c>
      <c r="D17" s="3" t="s">
        <v>11</v>
      </c>
      <c r="E17" s="3">
        <v>51000</v>
      </c>
      <c r="F17" s="3">
        <v>45000</v>
      </c>
    </row>
    <row r="18" spans="1:6" x14ac:dyDescent="0.3">
      <c r="A18" s="3" t="s">
        <v>34</v>
      </c>
      <c r="B18" s="3" t="s">
        <v>35</v>
      </c>
      <c r="C18" s="3" t="s">
        <v>18</v>
      </c>
      <c r="D18" s="3" t="s">
        <v>16</v>
      </c>
      <c r="E18" s="3">
        <v>36000</v>
      </c>
      <c r="F18" s="3">
        <v>35000</v>
      </c>
    </row>
    <row r="19" spans="1:6" x14ac:dyDescent="0.3">
      <c r="A19" s="3" t="s">
        <v>36</v>
      </c>
      <c r="B19" s="3" t="s">
        <v>37</v>
      </c>
      <c r="C19" s="3" t="s">
        <v>7</v>
      </c>
      <c r="D19" s="3" t="s">
        <v>8</v>
      </c>
      <c r="E19" s="3">
        <v>62000</v>
      </c>
      <c r="F19" s="3">
        <v>55000</v>
      </c>
    </row>
    <row r="20" spans="1:6" x14ac:dyDescent="0.3">
      <c r="A20" s="3" t="s">
        <v>38</v>
      </c>
      <c r="B20" s="3" t="s">
        <v>39</v>
      </c>
      <c r="C20" s="3" t="s">
        <v>10</v>
      </c>
      <c r="D20" s="3" t="s">
        <v>14</v>
      </c>
      <c r="E20" s="3">
        <v>27000</v>
      </c>
      <c r="F20" s="3">
        <v>30000</v>
      </c>
    </row>
    <row r="21" spans="1:6" x14ac:dyDescent="0.3">
      <c r="A21" s="3" t="s">
        <v>40</v>
      </c>
      <c r="B21" s="3" t="s">
        <v>41</v>
      </c>
      <c r="C21" s="3" t="s">
        <v>13</v>
      </c>
      <c r="D21" s="3" t="s">
        <v>16</v>
      </c>
      <c r="E21" s="3">
        <v>33000</v>
      </c>
      <c r="F21" s="3">
        <v>30000</v>
      </c>
    </row>
    <row r="22" spans="1:6" x14ac:dyDescent="0.3">
      <c r="A22" s="3" t="s">
        <v>42</v>
      </c>
      <c r="B22" s="3" t="s">
        <v>43</v>
      </c>
      <c r="C22" s="3" t="s">
        <v>7</v>
      </c>
      <c r="D22" s="3" t="s">
        <v>11</v>
      </c>
      <c r="E22" s="3">
        <v>54000</v>
      </c>
      <c r="F22" s="3">
        <v>50000</v>
      </c>
    </row>
    <row r="23" spans="1:6" x14ac:dyDescent="0.3">
      <c r="A23" s="3" t="s">
        <v>44</v>
      </c>
      <c r="B23" s="3" t="s">
        <v>45</v>
      </c>
      <c r="C23" s="3" t="s">
        <v>18</v>
      </c>
      <c r="D23" s="3" t="s">
        <v>8</v>
      </c>
      <c r="E23" s="3">
        <v>46000</v>
      </c>
      <c r="F23" s="3">
        <v>45000</v>
      </c>
    </row>
    <row r="24" spans="1:6" x14ac:dyDescent="0.3">
      <c r="A24" s="3" t="s">
        <v>46</v>
      </c>
      <c r="B24" s="3" t="s">
        <v>47</v>
      </c>
      <c r="C24" s="3" t="s">
        <v>10</v>
      </c>
      <c r="D24" s="3" t="s">
        <v>16</v>
      </c>
      <c r="E24" s="3">
        <v>30000</v>
      </c>
      <c r="F24" s="3">
        <v>30000</v>
      </c>
    </row>
    <row r="25" spans="1:6" x14ac:dyDescent="0.3">
      <c r="A25" s="3" t="s">
        <v>48</v>
      </c>
      <c r="B25" s="3" t="s">
        <v>49</v>
      </c>
      <c r="C25" s="3" t="s">
        <v>13</v>
      </c>
      <c r="D25" s="3" t="s">
        <v>14</v>
      </c>
      <c r="E25" s="3">
        <v>37000</v>
      </c>
      <c r="F25" s="3">
        <v>35000</v>
      </c>
    </row>
    <row r="26" spans="1:6" x14ac:dyDescent="0.3">
      <c r="A26" s="3" t="s">
        <v>50</v>
      </c>
      <c r="B26" s="3" t="s">
        <v>51</v>
      </c>
      <c r="C26" s="3" t="s">
        <v>7</v>
      </c>
      <c r="D26" s="3" t="s">
        <v>11</v>
      </c>
      <c r="E26" s="3">
        <v>58000</v>
      </c>
      <c r="F26" s="3">
        <v>55000</v>
      </c>
    </row>
    <row r="27" spans="1:6" x14ac:dyDescent="0.3">
      <c r="A27" s="3" t="s">
        <v>52</v>
      </c>
      <c r="B27" s="3" t="s">
        <v>53</v>
      </c>
      <c r="C27" s="3" t="s">
        <v>18</v>
      </c>
      <c r="D27" s="3" t="s">
        <v>16</v>
      </c>
      <c r="E27" s="3">
        <v>41000</v>
      </c>
      <c r="F27" s="3">
        <v>40000</v>
      </c>
    </row>
    <row r="28" spans="1:6" x14ac:dyDescent="0.3">
      <c r="A28" s="3" t="s">
        <v>54</v>
      </c>
      <c r="B28" s="3" t="s">
        <v>55</v>
      </c>
      <c r="C28" s="3" t="s">
        <v>10</v>
      </c>
      <c r="D28" s="3" t="s">
        <v>8</v>
      </c>
      <c r="E28" s="3">
        <v>35000</v>
      </c>
      <c r="F28" s="3">
        <v>35000</v>
      </c>
    </row>
    <row r="29" spans="1:6" x14ac:dyDescent="0.3">
      <c r="A29" s="3" t="s">
        <v>56</v>
      </c>
      <c r="B29" s="3" t="s">
        <v>57</v>
      </c>
      <c r="C29" s="3" t="s">
        <v>13</v>
      </c>
      <c r="D29" s="3" t="s">
        <v>11</v>
      </c>
      <c r="E29" s="3">
        <v>26000</v>
      </c>
      <c r="F29" s="3">
        <v>30000</v>
      </c>
    </row>
    <row r="30" spans="1:6" x14ac:dyDescent="0.3">
      <c r="A30" s="3" t="s">
        <v>58</v>
      </c>
      <c r="B30" s="3" t="s">
        <v>59</v>
      </c>
      <c r="C30" s="3" t="s">
        <v>7</v>
      </c>
      <c r="D30" s="3" t="s">
        <v>14</v>
      </c>
      <c r="E30" s="3">
        <v>49000</v>
      </c>
      <c r="F30" s="3">
        <v>45000</v>
      </c>
    </row>
    <row r="31" spans="1:6" x14ac:dyDescent="0.3">
      <c r="A31" s="3" t="s">
        <v>60</v>
      </c>
      <c r="B31" s="3" t="s">
        <v>61</v>
      </c>
      <c r="C31" s="3" t="s">
        <v>18</v>
      </c>
      <c r="D31" s="3" t="s">
        <v>16</v>
      </c>
      <c r="E31" s="3">
        <v>44000</v>
      </c>
      <c r="F31" s="3">
        <v>40000</v>
      </c>
    </row>
    <row r="32" spans="1:6" x14ac:dyDescent="0.3">
      <c r="A32" s="3" t="s">
        <v>62</v>
      </c>
      <c r="B32" s="3" t="s">
        <v>63</v>
      </c>
      <c r="C32" s="3" t="s">
        <v>10</v>
      </c>
      <c r="D32" s="3" t="s">
        <v>8</v>
      </c>
      <c r="E32" s="3">
        <v>38000</v>
      </c>
      <c r="F32" s="3">
        <v>35000</v>
      </c>
    </row>
  </sheetData>
  <mergeCells count="1">
    <mergeCell ref="I7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3B8B-B5DB-4514-A77F-94C509CD2ED4}">
  <dimension ref="A1:M32"/>
  <sheetViews>
    <sheetView tabSelected="1" workbookViewId="0">
      <selection activeCell="J8" sqref="J8"/>
    </sheetView>
  </sheetViews>
  <sheetFormatPr defaultColWidth="15.77734375" defaultRowHeight="14.4" x14ac:dyDescent="0.3"/>
  <sheetData>
    <row r="1" spans="1:12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64</v>
      </c>
      <c r="H1" s="13" t="s">
        <v>65</v>
      </c>
      <c r="I1" s="14" t="s">
        <v>66</v>
      </c>
    </row>
    <row r="2" spans="1:12" x14ac:dyDescent="0.3">
      <c r="A2" s="15">
        <v>45474</v>
      </c>
      <c r="B2" s="16" t="s">
        <v>6</v>
      </c>
      <c r="C2" s="16" t="s">
        <v>7</v>
      </c>
      <c r="D2" s="16" t="s">
        <v>8</v>
      </c>
      <c r="E2" s="16">
        <v>55000</v>
      </c>
      <c r="F2" s="16">
        <v>50000</v>
      </c>
      <c r="G2" s="16" t="str">
        <f>IF(Table1[[#This Row],[Target]]&gt;Table1[[#This Row],[Sales]],"Achive","Not Achive")</f>
        <v>Not Achive</v>
      </c>
      <c r="H2" s="16" t="str" cm="1">
        <f t="array" ref="H2">_xlfn.IFS(Table1[[#This Row],[Sales]]&gt;=60000,"8000",Table1[[#This Row],[Sales]]&gt;=40000,"5000",Table1[[#This Row],[Sales]]&lt;40000,"2000")</f>
        <v>5000</v>
      </c>
      <c r="I2" s="17" t="str">
        <f>IF(Table1[[#This Row],[Sales]]&gt;=50000,"High performar"," Low performer")</f>
        <v>High performar</v>
      </c>
    </row>
    <row r="3" spans="1:12" x14ac:dyDescent="0.3">
      <c r="A3" s="15">
        <v>45475</v>
      </c>
      <c r="B3" s="16" t="s">
        <v>9</v>
      </c>
      <c r="C3" s="16" t="s">
        <v>10</v>
      </c>
      <c r="D3" s="16" t="s">
        <v>11</v>
      </c>
      <c r="E3" s="16">
        <v>32000</v>
      </c>
      <c r="F3" s="16">
        <v>35000</v>
      </c>
      <c r="G3" s="16" t="str">
        <f>IF(Table1[[#This Row],[Target]]&gt;Table1[[#This Row],[Sales]],"Achive","Not Achive")</f>
        <v>Achive</v>
      </c>
      <c r="H3" s="16" t="str" cm="1">
        <f t="array" ref="H3">_xlfn.IFS(Table1[[#This Row],[Sales]]&gt;=60000,"8000",Table1[[#This Row],[Sales]]&gt;=40000,"5000",Table1[[#This Row],[Sales]]&lt;40000,"2000")</f>
        <v>2000</v>
      </c>
      <c r="I3" s="17" t="str">
        <f>IF(Table1[[#This Row],[Sales]]&gt;=50000,"High performar"," Low performer")</f>
        <v xml:space="preserve"> Low performer</v>
      </c>
      <c r="K3" s="9" t="s">
        <v>73</v>
      </c>
      <c r="L3" s="9"/>
    </row>
    <row r="4" spans="1:12" x14ac:dyDescent="0.3">
      <c r="A4" s="15">
        <v>45476</v>
      </c>
      <c r="B4" s="16" t="s">
        <v>15</v>
      </c>
      <c r="C4" s="16" t="s">
        <v>13</v>
      </c>
      <c r="D4" s="16" t="s">
        <v>14</v>
      </c>
      <c r="E4" s="16">
        <v>28000</v>
      </c>
      <c r="F4" s="16">
        <v>30000</v>
      </c>
      <c r="G4" s="16" t="str">
        <f>IF(Table1[[#This Row],[Target]]&gt;Table1[[#This Row],[Sales]],"Achive","Not Achive")</f>
        <v>Achive</v>
      </c>
      <c r="H4" s="16" t="str" cm="1">
        <f t="array" ref="H4">_xlfn.IFS(Table1[[#This Row],[Sales]]&gt;=60000,"8000",Table1[[#This Row],[Sales]]&gt;=40000,"5000",Table1[[#This Row],[Sales]]&lt;40000,"2000")</f>
        <v>2000</v>
      </c>
      <c r="I4" s="17" t="str">
        <f>IF(Table1[[#This Row],[Sales]]&gt;=50000,"High performar"," Low performer")</f>
        <v xml:space="preserve"> Low performer</v>
      </c>
    </row>
    <row r="5" spans="1:12" x14ac:dyDescent="0.3">
      <c r="A5" s="15">
        <v>45477</v>
      </c>
      <c r="B5" s="16" t="s">
        <v>12</v>
      </c>
      <c r="C5" s="16" t="s">
        <v>7</v>
      </c>
      <c r="D5" s="16" t="s">
        <v>16</v>
      </c>
      <c r="E5" s="16">
        <v>52000</v>
      </c>
      <c r="F5" s="16">
        <v>45000</v>
      </c>
      <c r="G5" s="16" t="str">
        <f>IF(Table1[[#This Row],[Target]]&gt;Table1[[#This Row],[Sales]],"Achive","Not Achive")</f>
        <v>Not Achive</v>
      </c>
      <c r="H5" s="16" t="str" cm="1">
        <f t="array" ref="H5">_xlfn.IFS(Table1[[#This Row],[Sales]]&gt;=60000,"8000",Table1[[#This Row],[Sales]]&gt;=40000,"5000",Table1[[#This Row],[Sales]]&lt;40000,"2000")</f>
        <v>5000</v>
      </c>
      <c r="I5" s="17" t="str">
        <f>IF(Table1[[#This Row],[Sales]]&gt;=50000,"High performar"," Low performer")</f>
        <v>High performar</v>
      </c>
      <c r="K5" s="6" t="s">
        <v>3</v>
      </c>
      <c r="L5" s="6" t="s">
        <v>72</v>
      </c>
    </row>
    <row r="6" spans="1:12" x14ac:dyDescent="0.3">
      <c r="A6" s="15">
        <v>45478</v>
      </c>
      <c r="B6" s="16" t="s">
        <v>17</v>
      </c>
      <c r="C6" s="16" t="s">
        <v>18</v>
      </c>
      <c r="D6" s="16" t="s">
        <v>8</v>
      </c>
      <c r="E6" s="16">
        <v>61000</v>
      </c>
      <c r="F6" s="16">
        <v>50000</v>
      </c>
      <c r="G6" s="16" t="str">
        <f>IF(Table1[[#This Row],[Target]]&gt;Table1[[#This Row],[Sales]],"Achive","Not Achive")</f>
        <v>Not Achive</v>
      </c>
      <c r="H6" s="16" t="str" cm="1">
        <f t="array" ref="H6">_xlfn.IFS(Table1[[#This Row],[Sales]]&gt;=60000,"8000",Table1[[#This Row],[Sales]]&gt;=40000,"5000",Table1[[#This Row],[Sales]]&lt;40000,"2000")</f>
        <v>8000</v>
      </c>
      <c r="I6" s="17" t="str">
        <f>IF(Table1[[#This Row],[Sales]]&gt;=50000,"High performar"," Low performer")</f>
        <v>High performar</v>
      </c>
      <c r="K6" s="7" t="s">
        <v>8</v>
      </c>
      <c r="L6" s="7">
        <f>COUNTIFS(Table1[Region],K6,Table1[Sales],"&gt;50000")</f>
        <v>4</v>
      </c>
    </row>
    <row r="7" spans="1:12" x14ac:dyDescent="0.3">
      <c r="A7" s="15">
        <v>45479</v>
      </c>
      <c r="B7" s="16" t="s">
        <v>19</v>
      </c>
      <c r="C7" s="16" t="s">
        <v>10</v>
      </c>
      <c r="D7" s="16" t="s">
        <v>11</v>
      </c>
      <c r="E7" s="16">
        <v>39000</v>
      </c>
      <c r="F7" s="16">
        <v>35000</v>
      </c>
      <c r="G7" s="16" t="str">
        <f>IF(Table1[[#This Row],[Target]]&gt;Table1[[#This Row],[Sales]],"Achive","Not Achive")</f>
        <v>Not Achive</v>
      </c>
      <c r="H7" s="16" t="str" cm="1">
        <f t="array" ref="H7">_xlfn.IFS(Table1[[#This Row],[Sales]]&gt;=60000,"8000",Table1[[#This Row],[Sales]]&gt;=40000,"5000",Table1[[#This Row],[Sales]]&lt;40000,"2000")</f>
        <v>2000</v>
      </c>
      <c r="I7" s="17" t="str">
        <f>IF(Table1[[#This Row],[Sales]]&gt;=50000,"High performar"," Low performer")</f>
        <v xml:space="preserve"> Low performer</v>
      </c>
    </row>
    <row r="8" spans="1:12" x14ac:dyDescent="0.3">
      <c r="A8" s="15">
        <v>45480</v>
      </c>
      <c r="B8" s="16" t="s">
        <v>20</v>
      </c>
      <c r="C8" s="16" t="s">
        <v>13</v>
      </c>
      <c r="D8" s="16" t="s">
        <v>16</v>
      </c>
      <c r="E8" s="16">
        <v>47000</v>
      </c>
      <c r="F8" s="16">
        <v>40000</v>
      </c>
      <c r="G8" s="16" t="str">
        <f>IF(Table1[[#This Row],[Target]]&gt;Table1[[#This Row],[Sales]],"Achive","Not Achive")</f>
        <v>Not Achive</v>
      </c>
      <c r="H8" s="16" t="str" cm="1">
        <f t="array" ref="H8">_xlfn.IFS(Table1[[#This Row],[Sales]]&gt;=60000,"8000",Table1[[#This Row],[Sales]]&gt;=40000,"5000",Table1[[#This Row],[Sales]]&lt;40000,"2000")</f>
        <v>5000</v>
      </c>
      <c r="I8" s="17" t="str">
        <f>IF(Table1[[#This Row],[Sales]]&gt;=50000,"High performar"," Low performer")</f>
        <v xml:space="preserve"> Low performer</v>
      </c>
      <c r="K8" s="9" t="s">
        <v>74</v>
      </c>
      <c r="L8" s="9"/>
    </row>
    <row r="9" spans="1:12" x14ac:dyDescent="0.3">
      <c r="A9" s="15">
        <v>45481</v>
      </c>
      <c r="B9" s="16" t="s">
        <v>21</v>
      </c>
      <c r="C9" s="16" t="s">
        <v>7</v>
      </c>
      <c r="D9" s="16" t="s">
        <v>14</v>
      </c>
      <c r="E9" s="16">
        <v>55000</v>
      </c>
      <c r="F9" s="16">
        <v>50000</v>
      </c>
      <c r="G9" s="16" t="str">
        <f>IF(Table1[[#This Row],[Target]]&gt;Table1[[#This Row],[Sales]],"Achive","Not Achive")</f>
        <v>Not Achive</v>
      </c>
      <c r="H9" s="16" t="str" cm="1">
        <f t="array" ref="H9">_xlfn.IFS(Table1[[#This Row],[Sales]]&gt;=60000,"8000",Table1[[#This Row],[Sales]]&gt;=40000,"5000",Table1[[#This Row],[Sales]]&lt;40000,"2000")</f>
        <v>5000</v>
      </c>
      <c r="I9" s="17" t="str">
        <f>IF(Table1[[#This Row],[Sales]]&gt;=50000,"High performar"," Low performer")</f>
        <v>High performar</v>
      </c>
    </row>
    <row r="10" spans="1:12" x14ac:dyDescent="0.3">
      <c r="A10" s="15">
        <v>45482</v>
      </c>
      <c r="B10" s="16" t="s">
        <v>22</v>
      </c>
      <c r="C10" s="16" t="s">
        <v>18</v>
      </c>
      <c r="D10" s="16" t="s">
        <v>8</v>
      </c>
      <c r="E10" s="16">
        <v>26000</v>
      </c>
      <c r="F10" s="16">
        <v>30000</v>
      </c>
      <c r="G10" s="16" t="str">
        <f>IF(Table1[[#This Row],[Target]]&gt;Table1[[#This Row],[Sales]],"Achive","Not Achive")</f>
        <v>Achive</v>
      </c>
      <c r="H10" s="16" t="str" cm="1">
        <f t="array" ref="H10">_xlfn.IFS(Table1[[#This Row],[Sales]]&gt;=60000,"8000",Table1[[#This Row],[Sales]]&gt;=40000,"5000",Table1[[#This Row],[Sales]]&lt;40000,"2000")</f>
        <v>2000</v>
      </c>
      <c r="I10" s="17" t="str">
        <f>IF(Table1[[#This Row],[Sales]]&gt;=50000,"High performar"," Low performer")</f>
        <v xml:space="preserve"> Low performer</v>
      </c>
      <c r="K10" s="6" t="s">
        <v>3</v>
      </c>
      <c r="L10" s="6" t="s">
        <v>68</v>
      </c>
    </row>
    <row r="11" spans="1:12" x14ac:dyDescent="0.3">
      <c r="A11" s="15">
        <v>45483</v>
      </c>
      <c r="B11" s="16" t="s">
        <v>23</v>
      </c>
      <c r="C11" s="16" t="s">
        <v>10</v>
      </c>
      <c r="D11" s="16" t="s">
        <v>16</v>
      </c>
      <c r="E11" s="16">
        <v>31000</v>
      </c>
      <c r="F11" s="16">
        <v>30000</v>
      </c>
      <c r="G11" s="16" t="str">
        <f>IF(Table1[[#This Row],[Target]]&gt;Table1[[#This Row],[Sales]],"Achive","Not Achive")</f>
        <v>Not Achive</v>
      </c>
      <c r="H11" s="16" t="str" cm="1">
        <f t="array" ref="H11">_xlfn.IFS(Table1[[#This Row],[Sales]]&gt;=60000,"8000",Table1[[#This Row],[Sales]]&gt;=40000,"5000",Table1[[#This Row],[Sales]]&lt;40000,"2000")</f>
        <v>2000</v>
      </c>
      <c r="I11" s="17" t="str">
        <f>IF(Table1[[#This Row],[Sales]]&gt;=50000,"High performar"," Low performer")</f>
        <v xml:space="preserve"> Low performer</v>
      </c>
      <c r="K11" s="7" t="s">
        <v>69</v>
      </c>
      <c r="L11" s="7">
        <f>COUNTIFS(Table1[Region],K11,Table1[Status],"Achive")</f>
        <v>1</v>
      </c>
    </row>
    <row r="12" spans="1:12" x14ac:dyDescent="0.3">
      <c r="A12" s="15">
        <v>45484</v>
      </c>
      <c r="B12" s="16" t="s">
        <v>24</v>
      </c>
      <c r="C12" s="16" t="s">
        <v>7</v>
      </c>
      <c r="D12" s="16" t="s">
        <v>11</v>
      </c>
      <c r="E12" s="16">
        <v>48000</v>
      </c>
      <c r="F12" s="16">
        <v>45000</v>
      </c>
      <c r="G12" s="16" t="str">
        <f>IF(Table1[[#This Row],[Target]]&gt;Table1[[#This Row],[Sales]],"Achive","Not Achive")</f>
        <v>Not Achive</v>
      </c>
      <c r="H12" s="16" t="str" cm="1">
        <f t="array" ref="H12">_xlfn.IFS(Table1[[#This Row],[Sales]]&gt;=60000,"8000",Table1[[#This Row],[Sales]]&gt;=40000,"5000",Table1[[#This Row],[Sales]]&lt;40000,"2000")</f>
        <v>5000</v>
      </c>
      <c r="I12" s="17" t="str">
        <f>IF(Table1[[#This Row],[Sales]]&gt;=50000,"High performar"," Low performer")</f>
        <v xml:space="preserve"> Low performer</v>
      </c>
    </row>
    <row r="13" spans="1:12" x14ac:dyDescent="0.3">
      <c r="A13" s="15">
        <v>45485</v>
      </c>
      <c r="B13" s="16" t="s">
        <v>25</v>
      </c>
      <c r="C13" s="16" t="s">
        <v>13</v>
      </c>
      <c r="D13" s="16" t="s">
        <v>14</v>
      </c>
      <c r="E13" s="16">
        <v>34000</v>
      </c>
      <c r="F13" s="16">
        <v>30000</v>
      </c>
      <c r="G13" s="16" t="str">
        <f>IF(Table1[[#This Row],[Target]]&gt;Table1[[#This Row],[Sales]],"Achive","Not Achive")</f>
        <v>Not Achive</v>
      </c>
      <c r="H13" s="16" t="str" cm="1">
        <f t="array" ref="H13">_xlfn.IFS(Table1[[#This Row],[Sales]]&gt;=60000,"8000",Table1[[#This Row],[Sales]]&gt;=40000,"5000",Table1[[#This Row],[Sales]]&lt;40000,"2000")</f>
        <v>2000</v>
      </c>
      <c r="I13" s="17" t="str">
        <f>IF(Table1[[#This Row],[Sales]]&gt;=50000,"High performar"," Low performer")</f>
        <v xml:space="preserve"> Low performer</v>
      </c>
      <c r="K13" s="9" t="s">
        <v>75</v>
      </c>
      <c r="L13" s="9"/>
    </row>
    <row r="14" spans="1:12" x14ac:dyDescent="0.3">
      <c r="A14" s="15">
        <v>45486</v>
      </c>
      <c r="B14" s="16" t="s">
        <v>27</v>
      </c>
      <c r="C14" s="16" t="s">
        <v>18</v>
      </c>
      <c r="D14" s="16" t="s">
        <v>16</v>
      </c>
      <c r="E14" s="16">
        <v>42000</v>
      </c>
      <c r="F14" s="16">
        <v>40000</v>
      </c>
      <c r="G14" s="16" t="str">
        <f>IF(Table1[[#This Row],[Target]]&gt;Table1[[#This Row],[Sales]],"Achive","Not Achive")</f>
        <v>Not Achive</v>
      </c>
      <c r="H14" s="16" t="str" cm="1">
        <f t="array" ref="H14">_xlfn.IFS(Table1[[#This Row],[Sales]]&gt;=60000,"8000",Table1[[#This Row],[Sales]]&gt;=40000,"5000",Table1[[#This Row],[Sales]]&lt;40000,"2000")</f>
        <v>5000</v>
      </c>
      <c r="I14" s="17" t="str">
        <f>IF(Table1[[#This Row],[Sales]]&gt;=50000,"High performar"," Low performer")</f>
        <v xml:space="preserve"> Low performer</v>
      </c>
    </row>
    <row r="15" spans="1:12" x14ac:dyDescent="0.3">
      <c r="A15" s="15">
        <v>45487</v>
      </c>
      <c r="B15" s="16" t="s">
        <v>29</v>
      </c>
      <c r="C15" s="16" t="s">
        <v>7</v>
      </c>
      <c r="D15" s="16" t="s">
        <v>8</v>
      </c>
      <c r="E15" s="16">
        <v>70000</v>
      </c>
      <c r="F15" s="16">
        <v>60000</v>
      </c>
      <c r="G15" s="16" t="str">
        <f>IF(Table1[[#This Row],[Target]]&gt;Table1[[#This Row],[Sales]],"Achive","Not Achive")</f>
        <v>Not Achive</v>
      </c>
      <c r="H15" s="16" t="str" cm="1">
        <f t="array" ref="H15">_xlfn.IFS(Table1[[#This Row],[Sales]]&gt;=60000,"8000",Table1[[#This Row],[Sales]]&gt;=40000,"5000",Table1[[#This Row],[Sales]]&lt;40000,"2000")</f>
        <v>8000</v>
      </c>
      <c r="I15" s="17" t="str">
        <f>IF(Table1[[#This Row],[Sales]]&gt;=50000,"High performar"," Low performer")</f>
        <v>High performar</v>
      </c>
      <c r="K15" s="5" t="s">
        <v>2</v>
      </c>
      <c r="L15" s="5" t="s">
        <v>4</v>
      </c>
    </row>
    <row r="16" spans="1:12" x14ac:dyDescent="0.3">
      <c r="A16" s="15">
        <v>45488</v>
      </c>
      <c r="B16" s="16" t="s">
        <v>31</v>
      </c>
      <c r="C16" s="16" t="s">
        <v>10</v>
      </c>
      <c r="D16" s="16" t="s">
        <v>14</v>
      </c>
      <c r="E16" s="16">
        <v>29000</v>
      </c>
      <c r="F16" s="16">
        <v>30000</v>
      </c>
      <c r="G16" s="16" t="str">
        <f>IF(Table1[[#This Row],[Target]]&gt;Table1[[#This Row],[Sales]],"Achive","Not Achive")</f>
        <v>Achive</v>
      </c>
      <c r="H16" s="16" t="str" cm="1">
        <f t="array" ref="H16">_xlfn.IFS(Table1[[#This Row],[Sales]]&gt;=60000,"8000",Table1[[#This Row],[Sales]]&gt;=40000,"5000",Table1[[#This Row],[Sales]]&lt;40000,"2000")</f>
        <v>2000</v>
      </c>
      <c r="I16" s="17" t="str">
        <f>IF(Table1[[#This Row],[Sales]]&gt;=50000,"High performar"," Low performer")</f>
        <v xml:space="preserve"> Low performer</v>
      </c>
      <c r="K16" t="s">
        <v>7</v>
      </c>
      <c r="L16">
        <f>SUMIF(Table1[Department],K16,Table1[Sales])</f>
        <v>503000</v>
      </c>
    </row>
    <row r="17" spans="1:13" x14ac:dyDescent="0.3">
      <c r="A17" s="15">
        <v>45489</v>
      </c>
      <c r="B17" s="16" t="s">
        <v>33</v>
      </c>
      <c r="C17" s="16" t="s">
        <v>13</v>
      </c>
      <c r="D17" s="16" t="s">
        <v>11</v>
      </c>
      <c r="E17" s="16">
        <v>51000</v>
      </c>
      <c r="F17" s="16">
        <v>45000</v>
      </c>
      <c r="G17" s="16" t="str">
        <f>IF(Table1[[#This Row],[Target]]&gt;Table1[[#This Row],[Sales]],"Achive","Not Achive")</f>
        <v>Not Achive</v>
      </c>
      <c r="H17" s="16" t="str" cm="1">
        <f t="array" ref="H17">_xlfn.IFS(Table1[[#This Row],[Sales]]&gt;=60000,"8000",Table1[[#This Row],[Sales]]&gt;=40000,"5000",Table1[[#This Row],[Sales]]&lt;40000,"2000")</f>
        <v>5000</v>
      </c>
      <c r="I17" s="17" t="str">
        <f>IF(Table1[[#This Row],[Sales]]&gt;=50000,"High performar"," Low performer")</f>
        <v>High performar</v>
      </c>
    </row>
    <row r="18" spans="1:13" x14ac:dyDescent="0.3">
      <c r="A18" s="15">
        <v>45490</v>
      </c>
      <c r="B18" s="16" t="s">
        <v>35</v>
      </c>
      <c r="C18" s="16" t="s">
        <v>18</v>
      </c>
      <c r="D18" s="16" t="s">
        <v>16</v>
      </c>
      <c r="E18" s="16">
        <v>36000</v>
      </c>
      <c r="F18" s="16">
        <v>35000</v>
      </c>
      <c r="G18" s="16" t="str">
        <f>IF(Table1[[#This Row],[Target]]&gt;Table1[[#This Row],[Sales]],"Achive","Not Achive")</f>
        <v>Not Achive</v>
      </c>
      <c r="H18" s="16" t="str" cm="1">
        <f t="array" ref="H18">_xlfn.IFS(Table1[[#This Row],[Sales]]&gt;=60000,"8000",Table1[[#This Row],[Sales]]&gt;=40000,"5000",Table1[[#This Row],[Sales]]&lt;40000,"2000")</f>
        <v>2000</v>
      </c>
      <c r="I18" s="17" t="str">
        <f>IF(Table1[[#This Row],[Sales]]&gt;=50000,"High performar"," Low performer")</f>
        <v xml:space="preserve"> Low performer</v>
      </c>
      <c r="K18" s="10" t="s">
        <v>76</v>
      </c>
      <c r="L18" s="10"/>
      <c r="M18" s="10"/>
    </row>
    <row r="19" spans="1:13" x14ac:dyDescent="0.3">
      <c r="A19" s="15">
        <v>45491</v>
      </c>
      <c r="B19" s="16" t="s">
        <v>37</v>
      </c>
      <c r="C19" s="16" t="s">
        <v>7</v>
      </c>
      <c r="D19" s="16" t="s">
        <v>8</v>
      </c>
      <c r="E19" s="16">
        <v>62000</v>
      </c>
      <c r="F19" s="16">
        <v>55000</v>
      </c>
      <c r="G19" s="16" t="str">
        <f>IF(Table1[[#This Row],[Target]]&gt;Table1[[#This Row],[Sales]],"Achive","Not Achive")</f>
        <v>Not Achive</v>
      </c>
      <c r="H19" s="16" t="str" cm="1">
        <f t="array" ref="H19">_xlfn.IFS(Table1[[#This Row],[Sales]]&gt;=60000,"8000",Table1[[#This Row],[Sales]]&gt;=40000,"5000",Table1[[#This Row],[Sales]]&lt;40000,"2000")</f>
        <v>8000</v>
      </c>
      <c r="I19" s="17" t="str">
        <f>IF(Table1[[#This Row],[Sales]]&gt;=50000,"High performar"," Low performer")</f>
        <v>High performar</v>
      </c>
      <c r="K19" s="6" t="s">
        <v>3</v>
      </c>
      <c r="L19" s="6" t="s">
        <v>70</v>
      </c>
      <c r="M19" s="6" t="s">
        <v>71</v>
      </c>
    </row>
    <row r="20" spans="1:13" x14ac:dyDescent="0.3">
      <c r="A20" s="15">
        <v>45492</v>
      </c>
      <c r="B20" s="16" t="s">
        <v>39</v>
      </c>
      <c r="C20" s="16" t="s">
        <v>10</v>
      </c>
      <c r="D20" s="16" t="s">
        <v>14</v>
      </c>
      <c r="E20" s="16">
        <v>27000</v>
      </c>
      <c r="F20" s="16">
        <v>30000</v>
      </c>
      <c r="G20" s="16" t="str">
        <f>IF(Table1[[#This Row],[Target]]&gt;Table1[[#This Row],[Sales]],"Achive","Not Achive")</f>
        <v>Achive</v>
      </c>
      <c r="H20" s="16" t="str" cm="1">
        <f t="array" ref="H20">_xlfn.IFS(Table1[[#This Row],[Sales]]&gt;=60000,"8000",Table1[[#This Row],[Sales]]&gt;=40000,"5000",Table1[[#This Row],[Sales]]&lt;40000,"2000")</f>
        <v>2000</v>
      </c>
      <c r="I20" s="17" t="str">
        <f>IF(Table1[[#This Row],[Sales]]&gt;=50000,"High performar"," Low performer")</f>
        <v xml:space="preserve"> Low performer</v>
      </c>
      <c r="K20" s="7" t="s">
        <v>11</v>
      </c>
      <c r="L20" s="8" t="s">
        <v>7</v>
      </c>
      <c r="M20" s="7">
        <f>COUNTIFS(Table1[Department],L20,Table1[Region],K20,Table1[Sales],"&gt;30000")</f>
        <v>3</v>
      </c>
    </row>
    <row r="21" spans="1:13" x14ac:dyDescent="0.3">
      <c r="A21" s="15">
        <v>45493</v>
      </c>
      <c r="B21" s="16" t="s">
        <v>41</v>
      </c>
      <c r="C21" s="16" t="s">
        <v>13</v>
      </c>
      <c r="D21" s="16" t="s">
        <v>16</v>
      </c>
      <c r="E21" s="16">
        <v>33000</v>
      </c>
      <c r="F21" s="16">
        <v>30000</v>
      </c>
      <c r="G21" s="16" t="str">
        <f>IF(Table1[[#This Row],[Target]]&gt;Table1[[#This Row],[Sales]],"Achive","Not Achive")</f>
        <v>Not Achive</v>
      </c>
      <c r="H21" s="16" t="str" cm="1">
        <f t="array" ref="H21">_xlfn.IFS(Table1[[#This Row],[Sales]]&gt;=60000,"8000",Table1[[#This Row],[Sales]]&gt;=40000,"5000",Table1[[#This Row],[Sales]]&lt;40000,"2000")</f>
        <v>2000</v>
      </c>
      <c r="I21" s="17" t="str">
        <f>IF(Table1[[#This Row],[Sales]]&gt;=50000,"High performar"," Low performer")</f>
        <v xml:space="preserve"> Low performer</v>
      </c>
    </row>
    <row r="22" spans="1:13" x14ac:dyDescent="0.3">
      <c r="A22" s="15">
        <v>45494</v>
      </c>
      <c r="B22" s="16" t="s">
        <v>43</v>
      </c>
      <c r="C22" s="16" t="s">
        <v>7</v>
      </c>
      <c r="D22" s="16" t="s">
        <v>11</v>
      </c>
      <c r="E22" s="16">
        <v>54000</v>
      </c>
      <c r="F22" s="16">
        <v>50000</v>
      </c>
      <c r="G22" s="16" t="str">
        <f>IF(Table1[[#This Row],[Target]]&gt;Table1[[#This Row],[Sales]],"Achive","Not Achive")</f>
        <v>Not Achive</v>
      </c>
      <c r="H22" s="16" t="str" cm="1">
        <f t="array" ref="H22">_xlfn.IFS(Table1[[#This Row],[Sales]]&gt;=60000,"8000",Table1[[#This Row],[Sales]]&gt;=40000,"5000",Table1[[#This Row],[Sales]]&lt;40000,"2000")</f>
        <v>5000</v>
      </c>
      <c r="I22" s="17" t="str">
        <f>IF(Table1[[#This Row],[Sales]]&gt;=50000,"High performar"," Low performer")</f>
        <v>High performar</v>
      </c>
    </row>
    <row r="23" spans="1:13" x14ac:dyDescent="0.3">
      <c r="A23" s="15">
        <v>45495</v>
      </c>
      <c r="B23" s="16" t="s">
        <v>45</v>
      </c>
      <c r="C23" s="16" t="s">
        <v>18</v>
      </c>
      <c r="D23" s="16" t="s">
        <v>8</v>
      </c>
      <c r="E23" s="16">
        <v>46000</v>
      </c>
      <c r="F23" s="16">
        <v>45000</v>
      </c>
      <c r="G23" s="16" t="str">
        <f>IF(Table1[[#This Row],[Target]]&gt;Table1[[#This Row],[Sales]],"Achive","Not Achive")</f>
        <v>Not Achive</v>
      </c>
      <c r="H23" s="16" t="str" cm="1">
        <f t="array" ref="H23">_xlfn.IFS(Table1[[#This Row],[Sales]]&gt;=60000,"8000",Table1[[#This Row],[Sales]]&gt;=40000,"5000",Table1[[#This Row],[Sales]]&lt;40000,"2000")</f>
        <v>5000</v>
      </c>
      <c r="I23" s="17" t="str">
        <f>IF(Table1[[#This Row],[Sales]]&gt;=50000,"High performar"," Low performer")</f>
        <v xml:space="preserve"> Low performer</v>
      </c>
    </row>
    <row r="24" spans="1:13" x14ac:dyDescent="0.3">
      <c r="A24" s="15">
        <v>45496</v>
      </c>
      <c r="B24" s="16" t="s">
        <v>47</v>
      </c>
      <c r="C24" s="16" t="s">
        <v>10</v>
      </c>
      <c r="D24" s="16" t="s">
        <v>16</v>
      </c>
      <c r="E24" s="16">
        <v>30000</v>
      </c>
      <c r="F24" s="16">
        <v>30000</v>
      </c>
      <c r="G24" s="16" t="str">
        <f>IF(Table1[[#This Row],[Target]]&gt;Table1[[#This Row],[Sales]],"Achive","Not Achive")</f>
        <v>Not Achive</v>
      </c>
      <c r="H24" s="16" t="str" cm="1">
        <f t="array" ref="H24">_xlfn.IFS(Table1[[#This Row],[Sales]]&gt;=60000,"8000",Table1[[#This Row],[Sales]]&gt;=40000,"5000",Table1[[#This Row],[Sales]]&lt;40000,"2000")</f>
        <v>2000</v>
      </c>
      <c r="I24" s="17" t="str">
        <f>IF(Table1[[#This Row],[Sales]]&gt;=50000,"High performar"," Low performer")</f>
        <v xml:space="preserve"> Low performer</v>
      </c>
    </row>
    <row r="25" spans="1:13" x14ac:dyDescent="0.3">
      <c r="A25" s="15">
        <v>45497</v>
      </c>
      <c r="B25" s="16" t="s">
        <v>49</v>
      </c>
      <c r="C25" s="16" t="s">
        <v>13</v>
      </c>
      <c r="D25" s="16" t="s">
        <v>14</v>
      </c>
      <c r="E25" s="16">
        <v>37000</v>
      </c>
      <c r="F25" s="16">
        <v>35000</v>
      </c>
      <c r="G25" s="16" t="str">
        <f>IF(Table1[[#This Row],[Target]]&gt;Table1[[#This Row],[Sales]],"Achive","Not Achive")</f>
        <v>Not Achive</v>
      </c>
      <c r="H25" s="16" t="str" cm="1">
        <f t="array" ref="H25">_xlfn.IFS(Table1[[#This Row],[Sales]]&gt;=60000,"8000",Table1[[#This Row],[Sales]]&gt;=40000,"5000",Table1[[#This Row],[Sales]]&lt;40000,"2000")</f>
        <v>2000</v>
      </c>
      <c r="I25" s="17" t="str">
        <f>IF(Table1[[#This Row],[Sales]]&gt;=50000,"High performar"," Low performer")</f>
        <v xml:space="preserve"> Low performer</v>
      </c>
    </row>
    <row r="26" spans="1:13" x14ac:dyDescent="0.3">
      <c r="A26" s="15">
        <v>45498</v>
      </c>
      <c r="B26" s="16" t="s">
        <v>51</v>
      </c>
      <c r="C26" s="16" t="s">
        <v>7</v>
      </c>
      <c r="D26" s="16" t="s">
        <v>11</v>
      </c>
      <c r="E26" s="16">
        <v>58000</v>
      </c>
      <c r="F26" s="16">
        <v>55000</v>
      </c>
      <c r="G26" s="16" t="str">
        <f>IF(Table1[[#This Row],[Target]]&gt;Table1[[#This Row],[Sales]],"Achive","Not Achive")</f>
        <v>Not Achive</v>
      </c>
      <c r="H26" s="16" t="str" cm="1">
        <f t="array" ref="H26">_xlfn.IFS(Table1[[#This Row],[Sales]]&gt;=60000,"8000",Table1[[#This Row],[Sales]]&gt;=40000,"5000",Table1[[#This Row],[Sales]]&lt;40000,"2000")</f>
        <v>5000</v>
      </c>
      <c r="I26" s="17" t="str">
        <f>IF(Table1[[#This Row],[Sales]]&gt;=50000,"High performar"," Low performer")</f>
        <v>High performar</v>
      </c>
    </row>
    <row r="27" spans="1:13" x14ac:dyDescent="0.3">
      <c r="A27" s="15">
        <v>45499</v>
      </c>
      <c r="B27" s="16" t="s">
        <v>53</v>
      </c>
      <c r="C27" s="16" t="s">
        <v>18</v>
      </c>
      <c r="D27" s="16" t="s">
        <v>16</v>
      </c>
      <c r="E27" s="16">
        <v>41000</v>
      </c>
      <c r="F27" s="16">
        <v>40000</v>
      </c>
      <c r="G27" s="16" t="str">
        <f>IF(Table1[[#This Row],[Target]]&gt;Table1[[#This Row],[Sales]],"Achive","Not Achive")</f>
        <v>Not Achive</v>
      </c>
      <c r="H27" s="16" t="str" cm="1">
        <f t="array" ref="H27">_xlfn.IFS(Table1[[#This Row],[Sales]]&gt;=60000,"8000",Table1[[#This Row],[Sales]]&gt;=40000,"5000",Table1[[#This Row],[Sales]]&lt;40000,"2000")</f>
        <v>5000</v>
      </c>
      <c r="I27" s="17" t="str">
        <f>IF(Table1[[#This Row],[Sales]]&gt;=50000,"High performar"," Low performer")</f>
        <v xml:space="preserve"> Low performer</v>
      </c>
    </row>
    <row r="28" spans="1:13" x14ac:dyDescent="0.3">
      <c r="A28" s="15">
        <v>45500</v>
      </c>
      <c r="B28" s="16" t="s">
        <v>55</v>
      </c>
      <c r="C28" s="16" t="s">
        <v>10</v>
      </c>
      <c r="D28" s="16" t="s">
        <v>8</v>
      </c>
      <c r="E28" s="16">
        <v>35000</v>
      </c>
      <c r="F28" s="16">
        <v>35000</v>
      </c>
      <c r="G28" s="16" t="str">
        <f>IF(Table1[[#This Row],[Target]]&gt;Table1[[#This Row],[Sales]],"Achive","Not Achive")</f>
        <v>Not Achive</v>
      </c>
      <c r="H28" s="16" t="str" cm="1">
        <f t="array" ref="H28">_xlfn.IFS(Table1[[#This Row],[Sales]]&gt;=60000,"8000",Table1[[#This Row],[Sales]]&gt;=40000,"5000",Table1[[#This Row],[Sales]]&lt;40000,"2000")</f>
        <v>2000</v>
      </c>
      <c r="I28" s="17" t="str">
        <f>IF(Table1[[#This Row],[Sales]]&gt;=50000,"High performar"," Low performer")</f>
        <v xml:space="preserve"> Low performer</v>
      </c>
    </row>
    <row r="29" spans="1:13" x14ac:dyDescent="0.3">
      <c r="A29" s="15">
        <v>45501</v>
      </c>
      <c r="B29" s="16" t="s">
        <v>57</v>
      </c>
      <c r="C29" s="16" t="s">
        <v>13</v>
      </c>
      <c r="D29" s="16" t="s">
        <v>11</v>
      </c>
      <c r="E29" s="16">
        <v>26000</v>
      </c>
      <c r="F29" s="16">
        <v>30000</v>
      </c>
      <c r="G29" s="16" t="str">
        <f>IF(Table1[[#This Row],[Target]]&gt;Table1[[#This Row],[Sales]],"Achive","Not Achive")</f>
        <v>Achive</v>
      </c>
      <c r="H29" s="16" t="str" cm="1">
        <f t="array" ref="H29">_xlfn.IFS(Table1[[#This Row],[Sales]]&gt;=60000,"8000",Table1[[#This Row],[Sales]]&gt;=40000,"5000",Table1[[#This Row],[Sales]]&lt;40000,"2000")</f>
        <v>2000</v>
      </c>
      <c r="I29" s="17" t="str">
        <f>IF(Table1[[#This Row],[Sales]]&gt;=50000,"High performar"," Low performer")</f>
        <v xml:space="preserve"> Low performer</v>
      </c>
    </row>
    <row r="30" spans="1:13" x14ac:dyDescent="0.3">
      <c r="A30" s="15">
        <v>45502</v>
      </c>
      <c r="B30" s="16" t="s">
        <v>59</v>
      </c>
      <c r="C30" s="16" t="s">
        <v>7</v>
      </c>
      <c r="D30" s="16" t="s">
        <v>14</v>
      </c>
      <c r="E30" s="16">
        <v>49000</v>
      </c>
      <c r="F30" s="16">
        <v>45000</v>
      </c>
      <c r="G30" s="16" t="str">
        <f>IF(Table1[[#This Row],[Target]]&gt;Table1[[#This Row],[Sales]],"Achive","Not Achive")</f>
        <v>Not Achive</v>
      </c>
      <c r="H30" s="16" t="str" cm="1">
        <f t="array" ref="H30">_xlfn.IFS(Table1[[#This Row],[Sales]]&gt;=60000,"8000",Table1[[#This Row],[Sales]]&gt;=40000,"5000",Table1[[#This Row],[Sales]]&lt;40000,"2000")</f>
        <v>5000</v>
      </c>
      <c r="I30" s="17" t="str">
        <f>IF(Table1[[#This Row],[Sales]]&gt;=50000,"High performar"," Low performer")</f>
        <v xml:space="preserve"> Low performer</v>
      </c>
    </row>
    <row r="31" spans="1:13" x14ac:dyDescent="0.3">
      <c r="A31" s="15">
        <v>45503</v>
      </c>
      <c r="B31" s="16" t="s">
        <v>61</v>
      </c>
      <c r="C31" s="16" t="s">
        <v>18</v>
      </c>
      <c r="D31" s="16" t="s">
        <v>16</v>
      </c>
      <c r="E31" s="16">
        <v>44000</v>
      </c>
      <c r="F31" s="16">
        <v>40000</v>
      </c>
      <c r="G31" s="16" t="str">
        <f>IF(Table1[[#This Row],[Target]]&gt;Table1[[#This Row],[Sales]],"Achive","Not Achive")</f>
        <v>Not Achive</v>
      </c>
      <c r="H31" s="16" t="str" cm="1">
        <f t="array" ref="H31">_xlfn.IFS(Table1[[#This Row],[Sales]]&gt;=60000,"8000",Table1[[#This Row],[Sales]]&gt;=40000,"5000",Table1[[#This Row],[Sales]]&lt;40000,"2000")</f>
        <v>5000</v>
      </c>
      <c r="I31" s="17" t="str">
        <f>IF(Table1[[#This Row],[Sales]]&gt;=50000,"High performar"," Low performer")</f>
        <v xml:space="preserve"> Low performer</v>
      </c>
    </row>
    <row r="32" spans="1:13" x14ac:dyDescent="0.3">
      <c r="A32" s="18">
        <v>45504</v>
      </c>
      <c r="B32" s="19" t="s">
        <v>63</v>
      </c>
      <c r="C32" s="19" t="s">
        <v>10</v>
      </c>
      <c r="D32" s="19" t="s">
        <v>8</v>
      </c>
      <c r="E32" s="19">
        <v>38000</v>
      </c>
      <c r="F32" s="19">
        <v>35000</v>
      </c>
      <c r="G32" s="19" t="str">
        <f>IF(Table1[[#This Row],[Target]]&gt;Table1[[#This Row],[Sales]],"Achive","Not Achive")</f>
        <v>Not Achive</v>
      </c>
      <c r="H32" s="19" t="str" cm="1">
        <f t="array" ref="H32">_xlfn.IFS(Table1[[#This Row],[Sales]]&gt;=60000,"8000",Table1[[#This Row],[Sales]]&gt;=40000,"5000",Table1[[#This Row],[Sales]]&lt;40000,"2000")</f>
        <v>2000</v>
      </c>
      <c r="I32" s="20" t="str">
        <f>IF(Table1[[#This Row],[Sales]]&gt;=50000,"High performar"," Low performer")</f>
        <v xml:space="preserve"> Low performer</v>
      </c>
    </row>
  </sheetData>
  <mergeCells count="4">
    <mergeCell ref="K3:L3"/>
    <mergeCell ref="K8:L8"/>
    <mergeCell ref="K13:L13"/>
    <mergeCell ref="K18:M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Jaiswal</dc:creator>
  <cp:lastModifiedBy>Rahul Jaiswal</cp:lastModifiedBy>
  <dcterms:created xsi:type="dcterms:W3CDTF">2026-04-03T03:15:00Z</dcterms:created>
  <dcterms:modified xsi:type="dcterms:W3CDTF">2026-04-04T08:01:10Z</dcterms:modified>
</cp:coreProperties>
</file>