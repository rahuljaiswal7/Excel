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FCC752B2-DB41-4D9F-B7AE-0F7EDE4DA80C}" xr6:coauthVersionLast="47" xr6:coauthVersionMax="47" xr10:uidLastSave="{00000000-0000-0000-0000-000000000000}"/>
  <bookViews>
    <workbookView xWindow="-108" yWindow="-108" windowWidth="23256" windowHeight="12456" xr2:uid="{A1D97403-6FA0-4503-968C-A3CF5F4729E8}"/>
  </bookViews>
  <sheets>
    <sheet name="Sheet1" sheetId="1" r:id="rId1"/>
    <sheet name="Sheet2" sheetId="2" r:id="rId2"/>
    <sheet name="Sheet3" sheetId="3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</calcChain>
</file>

<file path=xl/sharedStrings.xml><?xml version="1.0" encoding="utf-8"?>
<sst xmlns="http://schemas.openxmlformats.org/spreadsheetml/2006/main" count="491" uniqueCount="74">
  <si>
    <t>Date</t>
  </si>
  <si>
    <t>Salesman</t>
  </si>
  <si>
    <t>Region</t>
  </si>
  <si>
    <t>Department</t>
  </si>
  <si>
    <t>Sales</t>
  </si>
  <si>
    <t>Amit</t>
  </si>
  <si>
    <t>North</t>
  </si>
  <si>
    <t>Electronics</t>
  </si>
  <si>
    <t>Rahul</t>
  </si>
  <si>
    <t>East</t>
  </si>
  <si>
    <t>Grocery</t>
  </si>
  <si>
    <t>Pooja</t>
  </si>
  <si>
    <t>West</t>
  </si>
  <si>
    <t>Clothing</t>
  </si>
  <si>
    <t>Neha</t>
  </si>
  <si>
    <t>South</t>
  </si>
  <si>
    <t>Rakesh</t>
  </si>
  <si>
    <t>Furniture</t>
  </si>
  <si>
    <t>Vikash</t>
  </si>
  <si>
    <t>Anjali</t>
  </si>
  <si>
    <t>Rohit</t>
  </si>
  <si>
    <t>Deepak</t>
  </si>
  <si>
    <t>Kiran</t>
  </si>
  <si>
    <t>Sunil</t>
  </si>
  <si>
    <t>Shweta</t>
  </si>
  <si>
    <t>Manoj</t>
  </si>
  <si>
    <t>Abhishek</t>
  </si>
  <si>
    <t>Nisha</t>
  </si>
  <si>
    <t>Ajay</t>
  </si>
  <si>
    <t>Ritu</t>
  </si>
  <si>
    <t>Mohit</t>
  </si>
  <si>
    <t>Rajesh</t>
  </si>
  <si>
    <t>Pankaj</t>
  </si>
  <si>
    <t>Sonali</t>
  </si>
  <si>
    <t>Vivek</t>
  </si>
  <si>
    <t>Alok</t>
  </si>
  <si>
    <t>Kavita</t>
  </si>
  <si>
    <t>Rohan</t>
  </si>
  <si>
    <t>Meena</t>
  </si>
  <si>
    <t>Sandeep</t>
  </si>
  <si>
    <t>Payal</t>
  </si>
  <si>
    <t>Prakash</t>
  </si>
  <si>
    <t>Akash</t>
  </si>
  <si>
    <t>Simran</t>
  </si>
  <si>
    <t>Tarun</t>
  </si>
  <si>
    <t>Muskan</t>
  </si>
  <si>
    <t>Harsh</t>
  </si>
  <si>
    <t>Satyam</t>
  </si>
  <si>
    <t>Sneha</t>
  </si>
  <si>
    <t>Gaurav</t>
  </si>
  <si>
    <t>Priti</t>
  </si>
  <si>
    <t>Dinesh</t>
  </si>
  <si>
    <t>Aarti</t>
  </si>
  <si>
    <t>Manish</t>
  </si>
  <si>
    <t>Jyoti</t>
  </si>
  <si>
    <t>Naveen</t>
  </si>
  <si>
    <t>Komal</t>
  </si>
  <si>
    <t>Suraj</t>
  </si>
  <si>
    <t>Bhavna</t>
  </si>
  <si>
    <t>Kapil</t>
  </si>
  <si>
    <t>Ashok</t>
  </si>
  <si>
    <t>Kunal</t>
  </si>
  <si>
    <t>Ramesh</t>
  </si>
  <si>
    <t>Region wise total sales</t>
  </si>
  <si>
    <t>Total sales</t>
  </si>
  <si>
    <t>Department wise total sales</t>
  </si>
  <si>
    <t>Total Sales</t>
  </si>
  <si>
    <t>Sales &gt; 50000 → "High" else "Normal"</t>
  </si>
  <si>
    <t>Sales Status</t>
  </si>
  <si>
    <t>Count of South region + Sales &gt; 40000</t>
  </si>
  <si>
    <t xml:space="preserve"> Sales &gt; 60000 → Green</t>
  </si>
  <si>
    <t xml:space="preserve"> Sales &lt; 30000 → Red</t>
  </si>
  <si>
    <t>North region ki total sales</t>
  </si>
  <si>
    <t xml:space="preserve">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</si>
</sst>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 wrapText="1"/>
    </xf>
    <xf numFmtId="15" fontId="0" fillId="0" borderId="2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5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5" xfId="0" applyBorder="1" applyAlignment="1">
      <alignment vertical="center" wrapText="1"/>
    </xf>
    <xf numFmtId="0" fontId="1" fillId="4" borderId="1" xfId="0" applyFont="1" applyFill="1" applyBorder="1"/>
    <xf numFmtId="0" fontId="0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7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color rgb="FF00610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Kumar Jaiswal" refreshedDate="46099.904307291668" createdVersion="8" refreshedVersion="8" minRefreshableVersion="3" recordCount="50" xr:uid="{2B3C63D9-8E0F-4B44-B032-E7322C4D6EFB}">
  <cacheSource type="worksheet">
    <worksheetSource name="Table1"/>
  </cacheSource>
  <cacheFields count="5">
    <cacheField name="Date" numFmtId="15">
      <sharedItems containsSemiMixedTypes="0" containsNonDate="0" containsDate="1" containsString="0" minDate="2024-03-01T00:00:00" maxDate="2024-04-20T00:00:00"/>
    </cacheField>
    <cacheField name="Salesman" numFmtId="0">
      <sharedItems count="50">
        <s v="Amit"/>
        <s v="Rahul"/>
        <s v="Pooja"/>
        <s v="Neha"/>
        <s v="Rakesh"/>
        <s v="Vikash"/>
        <s v="Anjali"/>
        <s v="Rohit"/>
        <s v="Deepak"/>
        <s v="Kiran"/>
        <s v="Sunil"/>
        <s v="Shweta"/>
        <s v="Manoj"/>
        <s v="Abhishek"/>
        <s v="Nisha"/>
        <s v="Ajay"/>
        <s v="Ritu"/>
        <s v="Mohit"/>
        <s v="Rajesh"/>
        <s v="Pankaj"/>
        <s v="Sonali"/>
        <s v="Vivek"/>
        <s v="Alok"/>
        <s v="Kavita"/>
        <s v="Rohan"/>
        <s v="Meena"/>
        <s v="Sandeep"/>
        <s v="Payal"/>
        <s v="Prakash"/>
        <s v="Akash"/>
        <s v="Simran"/>
        <s v="Tarun"/>
        <s v="Muskan"/>
        <s v="Harsh"/>
        <s v="Satyam"/>
        <s v="Sneha"/>
        <s v="Gaurav"/>
        <s v="Priti"/>
        <s v="Dinesh"/>
        <s v="Aarti"/>
        <s v="Manish"/>
        <s v="Jyoti"/>
        <s v="Naveen"/>
        <s v="Komal"/>
        <s v="Suraj"/>
        <s v="Bhavna"/>
        <s v="Kapil"/>
        <s v="Ashok"/>
        <s v="Kunal"/>
        <s v="Ramesh"/>
      </sharedItems>
    </cacheField>
    <cacheField name="Region" numFmtId="0">
      <sharedItems count="4">
        <s v="North"/>
        <s v="East"/>
        <s v="West"/>
        <s v="South"/>
      </sharedItems>
    </cacheField>
    <cacheField name="Department" numFmtId="0">
      <sharedItems count="4">
        <s v="Electronics"/>
        <s v="Grocery"/>
        <s v="Clothing"/>
        <s v="Furniture"/>
      </sharedItems>
    </cacheField>
    <cacheField name="Sales" numFmtId="0">
      <sharedItems containsSemiMixedTypes="0" containsString="0" containsNumber="1" containsInteger="1" minValue="2550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4-03-01T00:00:00"/>
    <x v="0"/>
    <x v="0"/>
    <x v="0"/>
    <n v="55000"/>
  </r>
  <r>
    <d v="2024-03-02T00:00:00"/>
    <x v="1"/>
    <x v="1"/>
    <x v="1"/>
    <n v="32000"/>
  </r>
  <r>
    <d v="2024-03-03T00:00:00"/>
    <x v="2"/>
    <x v="2"/>
    <x v="2"/>
    <n v="28000"/>
  </r>
  <r>
    <d v="2024-03-04T00:00:00"/>
    <x v="3"/>
    <x v="3"/>
    <x v="0"/>
    <n v="52000"/>
  </r>
  <r>
    <d v="2024-03-05T00:00:00"/>
    <x v="4"/>
    <x v="0"/>
    <x v="3"/>
    <n v="61000"/>
  </r>
  <r>
    <d v="2024-03-06T00:00:00"/>
    <x v="5"/>
    <x v="1"/>
    <x v="1"/>
    <n v="39000"/>
  </r>
  <r>
    <d v="2024-03-07T00:00:00"/>
    <x v="6"/>
    <x v="3"/>
    <x v="2"/>
    <n v="47000"/>
  </r>
  <r>
    <d v="2024-03-08T00:00:00"/>
    <x v="7"/>
    <x v="2"/>
    <x v="0"/>
    <n v="55000"/>
  </r>
  <r>
    <d v="2024-03-09T00:00:00"/>
    <x v="8"/>
    <x v="0"/>
    <x v="3"/>
    <n v="26000"/>
  </r>
  <r>
    <d v="2024-03-10T00:00:00"/>
    <x v="9"/>
    <x v="3"/>
    <x v="1"/>
    <n v="31000"/>
  </r>
  <r>
    <d v="2024-03-11T00:00:00"/>
    <x v="10"/>
    <x v="1"/>
    <x v="0"/>
    <n v="48000"/>
  </r>
  <r>
    <d v="2024-03-12T00:00:00"/>
    <x v="11"/>
    <x v="2"/>
    <x v="2"/>
    <n v="34000"/>
  </r>
  <r>
    <d v="2024-03-13T00:00:00"/>
    <x v="12"/>
    <x v="3"/>
    <x v="3"/>
    <n v="42000"/>
  </r>
  <r>
    <d v="2024-03-14T00:00:00"/>
    <x v="13"/>
    <x v="0"/>
    <x v="0"/>
    <n v="70000"/>
  </r>
  <r>
    <d v="2024-03-15T00:00:00"/>
    <x v="14"/>
    <x v="2"/>
    <x v="1"/>
    <n v="29000"/>
  </r>
  <r>
    <d v="2024-03-16T00:00:00"/>
    <x v="15"/>
    <x v="1"/>
    <x v="2"/>
    <n v="51000"/>
  </r>
  <r>
    <d v="2024-03-17T00:00:00"/>
    <x v="16"/>
    <x v="3"/>
    <x v="3"/>
    <n v="36000"/>
  </r>
  <r>
    <d v="2024-03-18T00:00:00"/>
    <x v="17"/>
    <x v="0"/>
    <x v="0"/>
    <n v="62000"/>
  </r>
  <r>
    <d v="2024-03-19T00:00:00"/>
    <x v="18"/>
    <x v="2"/>
    <x v="1"/>
    <n v="27000"/>
  </r>
  <r>
    <d v="2024-03-20T00:00:00"/>
    <x v="19"/>
    <x v="3"/>
    <x v="2"/>
    <n v="33000"/>
  </r>
  <r>
    <d v="2024-03-21T00:00:00"/>
    <x v="20"/>
    <x v="1"/>
    <x v="0"/>
    <n v="54000"/>
  </r>
  <r>
    <d v="2024-03-22T00:00:00"/>
    <x v="21"/>
    <x v="0"/>
    <x v="3"/>
    <n v="46000"/>
  </r>
  <r>
    <d v="2024-03-23T00:00:00"/>
    <x v="22"/>
    <x v="3"/>
    <x v="1"/>
    <n v="30000"/>
  </r>
  <r>
    <d v="2024-03-24T00:00:00"/>
    <x v="23"/>
    <x v="2"/>
    <x v="2"/>
    <n v="37000"/>
  </r>
  <r>
    <d v="2024-03-25T00:00:00"/>
    <x v="24"/>
    <x v="1"/>
    <x v="0"/>
    <n v="58000"/>
  </r>
  <r>
    <d v="2024-03-26T00:00:00"/>
    <x v="25"/>
    <x v="3"/>
    <x v="3"/>
    <n v="41000"/>
  </r>
  <r>
    <d v="2024-03-27T00:00:00"/>
    <x v="26"/>
    <x v="0"/>
    <x v="1"/>
    <n v="35000"/>
  </r>
  <r>
    <d v="2024-03-28T00:00:00"/>
    <x v="27"/>
    <x v="1"/>
    <x v="2"/>
    <n v="26000"/>
  </r>
  <r>
    <d v="2024-03-29T00:00:00"/>
    <x v="28"/>
    <x v="2"/>
    <x v="0"/>
    <n v="49000"/>
  </r>
  <r>
    <d v="2024-03-30T00:00:00"/>
    <x v="29"/>
    <x v="3"/>
    <x v="3"/>
    <n v="44000"/>
  </r>
  <r>
    <d v="2024-03-31T00:00:00"/>
    <x v="30"/>
    <x v="0"/>
    <x v="1"/>
    <n v="38000"/>
  </r>
  <r>
    <d v="2024-04-01T00:00:00"/>
    <x v="31"/>
    <x v="1"/>
    <x v="2"/>
    <n v="52000"/>
  </r>
  <r>
    <d v="2024-04-02T00:00:00"/>
    <x v="32"/>
    <x v="3"/>
    <x v="0"/>
    <n v="31000"/>
  </r>
  <r>
    <d v="2024-04-03T00:00:00"/>
    <x v="33"/>
    <x v="2"/>
    <x v="3"/>
    <n v="57000"/>
  </r>
  <r>
    <d v="2024-04-04T00:00:00"/>
    <x v="34"/>
    <x v="1"/>
    <x v="1"/>
    <n v="29500"/>
  </r>
  <r>
    <d v="2024-04-05T00:00:00"/>
    <x v="35"/>
    <x v="0"/>
    <x v="2"/>
    <n v="46500"/>
  </r>
  <r>
    <d v="2024-04-06T00:00:00"/>
    <x v="36"/>
    <x v="3"/>
    <x v="0"/>
    <n v="61000"/>
  </r>
  <r>
    <d v="2024-04-07T00:00:00"/>
    <x v="37"/>
    <x v="1"/>
    <x v="3"/>
    <n v="35500"/>
  </r>
  <r>
    <d v="2024-04-08T00:00:00"/>
    <x v="38"/>
    <x v="2"/>
    <x v="1"/>
    <n v="27500"/>
  </r>
  <r>
    <d v="2024-04-09T00:00:00"/>
    <x v="39"/>
    <x v="3"/>
    <x v="2"/>
    <n v="33500"/>
  </r>
  <r>
    <d v="2024-04-10T00:00:00"/>
    <x v="40"/>
    <x v="0"/>
    <x v="0"/>
    <n v="68000"/>
  </r>
  <r>
    <d v="2024-04-11T00:00:00"/>
    <x v="41"/>
    <x v="1"/>
    <x v="3"/>
    <n v="43000"/>
  </r>
  <r>
    <d v="2024-04-12T00:00:00"/>
    <x v="42"/>
    <x v="3"/>
    <x v="1"/>
    <n v="31500"/>
  </r>
  <r>
    <d v="2024-04-13T00:00:00"/>
    <x v="43"/>
    <x v="2"/>
    <x v="2"/>
    <n v="25500"/>
  </r>
  <r>
    <d v="2024-04-14T00:00:00"/>
    <x v="44"/>
    <x v="1"/>
    <x v="0"/>
    <n v="60000"/>
  </r>
  <r>
    <d v="2024-04-15T00:00:00"/>
    <x v="45"/>
    <x v="0"/>
    <x v="3"/>
    <n v="47000"/>
  </r>
  <r>
    <d v="2024-04-16T00:00:00"/>
    <x v="46"/>
    <x v="3"/>
    <x v="1"/>
    <n v="36000"/>
  </r>
  <r>
    <d v="2024-04-17T00:00:00"/>
    <x v="47"/>
    <x v="2"/>
    <x v="2"/>
    <n v="41000"/>
  </r>
  <r>
    <d v="2024-04-18T00:00:00"/>
    <x v="48"/>
    <x v="0"/>
    <x v="0"/>
    <n v="53000"/>
  </r>
  <r>
    <d v="2024-04-19T00:00:00"/>
    <x v="49"/>
    <x v="1"/>
    <x v="3"/>
    <n v="3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F34F2-814A-47ED-B2FA-E8F88BE57EA8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H19:I20" firstHeaderRow="1" firstDataRow="1" firstDataCol="1"/>
  <pivotFields count="5">
    <pivotField numFmtId="15" showAll="0"/>
    <pivotField showAll="0"/>
    <pivotField axis="axisRow" showAll="0">
      <items count="5">
        <item h="1" x="1"/>
        <item x="0"/>
        <item h="1" x="3"/>
        <item h="1" x="2"/>
        <item t="default"/>
      </items>
    </pivotField>
    <pivotField showAll="0"/>
    <pivotField dataField="1" showAll="0"/>
  </pivotFields>
  <rowFields count="1">
    <field x="2"/>
  </rowFields>
  <rowItems count="1">
    <i>
      <x v="1"/>
    </i>
  </rowItems>
  <colItems count="1">
    <i/>
  </colItems>
  <dataFields count="1">
    <dataField name=" Sales" fld="4" baseField="2" baseItem="1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93FFE-E932-4B0F-B937-311C2FA5B729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epartment">
  <location ref="K4:L8" firstHeaderRow="1" firstDataRow="1" firstDataCol="1"/>
  <pivotFields count="5">
    <pivotField numFmtId="15" showAll="0"/>
    <pivotField showAll="0">
      <items count="51">
        <item x="39"/>
        <item x="13"/>
        <item x="15"/>
        <item x="29"/>
        <item x="22"/>
        <item x="0"/>
        <item x="6"/>
        <item x="47"/>
        <item x="45"/>
        <item x="8"/>
        <item x="38"/>
        <item x="36"/>
        <item x="33"/>
        <item x="41"/>
        <item x="46"/>
        <item x="23"/>
        <item x="9"/>
        <item x="43"/>
        <item x="48"/>
        <item x="40"/>
        <item x="12"/>
        <item x="25"/>
        <item x="17"/>
        <item x="32"/>
        <item x="42"/>
        <item x="3"/>
        <item x="14"/>
        <item x="19"/>
        <item x="27"/>
        <item x="2"/>
        <item x="28"/>
        <item x="37"/>
        <item x="1"/>
        <item x="18"/>
        <item x="4"/>
        <item x="49"/>
        <item x="16"/>
        <item x="24"/>
        <item x="7"/>
        <item x="26"/>
        <item x="34"/>
        <item x="11"/>
        <item x="30"/>
        <item x="35"/>
        <item x="20"/>
        <item x="10"/>
        <item x="44"/>
        <item x="31"/>
        <item x="5"/>
        <item x="2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Sales" fld="4" baseField="3" baseItem="0"/>
  </dataFields>
  <formats count="5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3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EC74E-A338-4C21-A980-EFF36AC7A87B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G4:H8" firstHeaderRow="1" firstDataRow="1" firstDataCol="1"/>
  <pivotFields count="5">
    <pivotField numFmtId="15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sales" fld="4" baseField="2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F730B-4CE2-4146-9DFF-AE7FD82A2B9D}" name="Table1" displayName="Table1" ref="A1:E51" totalsRowShown="0" headerRowDxfId="58" dataDxfId="56" headerRowBorderDxfId="57" tableBorderDxfId="55" totalsRowBorderDxfId="54">
  <autoFilter ref="A1:E51" xr:uid="{E2AF730B-4CE2-4146-9DFF-AE7FD82A2B9D}"/>
  <tableColumns count="5">
    <tableColumn id="1" xr3:uid="{DCFDFC96-5C32-4EE3-A183-06F90BBB0B60}" name="Date" dataDxfId="53"/>
    <tableColumn id="2" xr3:uid="{692BC9C1-8F2B-46A4-BFB5-B3C136410C17}" name="Salesman" dataDxfId="52"/>
    <tableColumn id="3" xr3:uid="{465A455E-F9D2-4D2E-8E64-B23878925474}" name="Region" dataDxfId="51"/>
    <tableColumn id="4" xr3:uid="{A97CCD9C-AAC1-40AB-91F3-3F1387C76548}" name="Department" dataDxfId="50"/>
    <tableColumn id="5" xr3:uid="{F20AAFDF-BFA2-4EFB-94AB-A11DDCD86FD9}" name="Sales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7FC1B-7407-46F0-A052-D37045228212}" name="Table13" displayName="Table13" ref="A1:F51" totalsRowShown="0" headerRowDxfId="48" dataDxfId="47" headerRowBorderDxfId="45" tableBorderDxfId="46" totalsRowBorderDxfId="44">
  <autoFilter ref="A1:F51" xr:uid="{FD77FC1B-7407-46F0-A052-D37045228212}"/>
  <tableColumns count="6">
    <tableColumn id="1" xr3:uid="{AE4455E3-49D2-46D1-8791-9960A040B5C8}" name="Date" dataDxfId="43"/>
    <tableColumn id="2" xr3:uid="{B61C4165-22A8-4A3D-BBCD-B948690B9B3E}" name="Salesman" dataDxfId="42"/>
    <tableColumn id="3" xr3:uid="{7BEAD91D-E00D-403C-82C3-21A72DE3DF1A}" name="Region" dataDxfId="41"/>
    <tableColumn id="4" xr3:uid="{EE7F27F5-1D2F-482D-BD72-B264A28C4084}" name="Department" dataDxfId="40"/>
    <tableColumn id="5" xr3:uid="{73818F39-F27D-4241-B328-EC88EBDB4EF2}" name="Sales" dataDxfId="39"/>
    <tableColumn id="6" xr3:uid="{B73BC1BC-E32D-4390-B2A8-5DCA49DDA87D}" name="Sales Status" dataDxfId="38">
      <calculatedColumnFormula>IF(Table13[[#This Row],[Sales]]&gt;50000,"HIGH","NORMAL")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36D26-14EA-4507-BAFF-5A5313E71661}" name="Table14" displayName="Table14" ref="A1:E51" totalsRowShown="0" headerRowDxfId="26" dataDxfId="25" headerRowBorderDxfId="23" tableBorderDxfId="24" totalsRowBorderDxfId="22">
  <autoFilter ref="A1:E51" xr:uid="{45036D26-14EA-4507-BAFF-5A5313E71661}"/>
  <tableColumns count="5">
    <tableColumn id="1" xr3:uid="{E2167EF9-4D54-467A-A90C-D224F22D59C5}" name="Date" dataDxfId="21"/>
    <tableColumn id="2" xr3:uid="{08F16F70-7085-4C3D-8210-A63489A2C700}" name="Salesman" dataDxfId="20"/>
    <tableColumn id="3" xr3:uid="{F0852959-6DED-43F6-99BE-167E3DFF703C}" name="Region" dataDxfId="19"/>
    <tableColumn id="4" xr3:uid="{1A8D9F17-35A1-4F3F-B3C3-04B0FCA766C5}" name="Department" dataDxfId="18"/>
    <tableColumn id="5" xr3:uid="{32BB2F15-3BEA-4DB1-9FE9-2BC8185C4AE6}" name="Sales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B02A-1DF5-4BC3-9AD5-5192F108F4F5}">
  <sheetPr>
    <tabColor rgb="FFFF6600"/>
  </sheetPr>
  <dimension ref="A1:M51"/>
  <sheetViews>
    <sheetView tabSelected="1" workbookViewId="0">
      <selection activeCell="J18" sqref="J18"/>
    </sheetView>
  </sheetViews>
  <sheetFormatPr defaultColWidth="14.21875" defaultRowHeight="14.4" x14ac:dyDescent="0.3"/>
  <cols>
    <col min="7" max="8" width="9" bestFit="1" customWidth="1"/>
    <col min="9" max="9" width="7" bestFit="1" customWidth="1"/>
    <col min="10" max="10" width="13.33203125" bestFit="1" customWidth="1"/>
    <col min="11" max="11" width="9.88671875" bestFit="1" customWidth="1"/>
    <col min="13" max="13" width="12.5546875" bestFit="1" customWidth="1"/>
    <col min="14" max="14" width="11.6640625" bestFit="1" customWidth="1"/>
  </cols>
  <sheetData>
    <row r="1" spans="1:13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13" x14ac:dyDescent="0.3">
      <c r="A2" s="2">
        <v>45352</v>
      </c>
      <c r="B2" s="1" t="s">
        <v>5</v>
      </c>
      <c r="C2" s="1" t="s">
        <v>6</v>
      </c>
      <c r="D2" s="1" t="s">
        <v>7</v>
      </c>
      <c r="E2" s="3">
        <v>55000</v>
      </c>
      <c r="G2" s="13" t="s">
        <v>63</v>
      </c>
      <c r="H2" s="13"/>
      <c r="J2" s="13" t="s">
        <v>65</v>
      </c>
      <c r="K2" s="13"/>
      <c r="L2" s="13"/>
      <c r="M2" s="13"/>
    </row>
    <row r="3" spans="1:13" x14ac:dyDescent="0.3">
      <c r="A3" s="2">
        <v>45353</v>
      </c>
      <c r="B3" s="1" t="s">
        <v>8</v>
      </c>
      <c r="C3" s="1" t="s">
        <v>9</v>
      </c>
      <c r="D3" s="1" t="s">
        <v>10</v>
      </c>
      <c r="E3" s="3">
        <v>32000</v>
      </c>
    </row>
    <row r="4" spans="1:13" x14ac:dyDescent="0.3">
      <c r="A4" s="2">
        <v>45354</v>
      </c>
      <c r="B4" s="1" t="s">
        <v>11</v>
      </c>
      <c r="C4" s="1" t="s">
        <v>12</v>
      </c>
      <c r="D4" s="1" t="s">
        <v>13</v>
      </c>
      <c r="E4" s="3">
        <v>28000</v>
      </c>
      <c r="G4" s="10" t="s">
        <v>2</v>
      </c>
      <c r="H4" s="11" t="s">
        <v>64</v>
      </c>
      <c r="K4" s="10" t="s">
        <v>3</v>
      </c>
      <c r="L4" s="11" t="s">
        <v>66</v>
      </c>
    </row>
    <row r="5" spans="1:13" x14ac:dyDescent="0.3">
      <c r="A5" s="2">
        <v>45355</v>
      </c>
      <c r="B5" s="1" t="s">
        <v>14</v>
      </c>
      <c r="C5" s="1" t="s">
        <v>15</v>
      </c>
      <c r="D5" s="1" t="s">
        <v>7</v>
      </c>
      <c r="E5" s="3">
        <v>52000</v>
      </c>
      <c r="G5" s="12" t="s">
        <v>9</v>
      </c>
      <c r="H5" s="11">
        <v>567000</v>
      </c>
      <c r="K5" s="12" t="s">
        <v>13</v>
      </c>
      <c r="L5" s="11">
        <v>454500</v>
      </c>
    </row>
    <row r="6" spans="1:13" x14ac:dyDescent="0.3">
      <c r="A6" s="2">
        <v>45356</v>
      </c>
      <c r="B6" s="1" t="s">
        <v>16</v>
      </c>
      <c r="C6" s="1" t="s">
        <v>6</v>
      </c>
      <c r="D6" s="1" t="s">
        <v>17</v>
      </c>
      <c r="E6" s="3">
        <v>61000</v>
      </c>
      <c r="G6" s="12" t="s">
        <v>6</v>
      </c>
      <c r="H6" s="11">
        <v>607500</v>
      </c>
      <c r="K6" s="12" t="s">
        <v>7</v>
      </c>
      <c r="L6" s="11">
        <v>776000</v>
      </c>
    </row>
    <row r="7" spans="1:13" x14ac:dyDescent="0.3">
      <c r="A7" s="2">
        <v>45357</v>
      </c>
      <c r="B7" s="1" t="s">
        <v>18</v>
      </c>
      <c r="C7" s="1" t="s">
        <v>9</v>
      </c>
      <c r="D7" s="1" t="s">
        <v>10</v>
      </c>
      <c r="E7" s="3">
        <v>39000</v>
      </c>
      <c r="G7" s="12" t="s">
        <v>15</v>
      </c>
      <c r="H7" s="11">
        <v>549000</v>
      </c>
      <c r="K7" s="12" t="s">
        <v>17</v>
      </c>
      <c r="L7" s="11">
        <v>517500</v>
      </c>
    </row>
    <row r="8" spans="1:13" x14ac:dyDescent="0.3">
      <c r="A8" s="2">
        <v>45358</v>
      </c>
      <c r="B8" s="1" t="s">
        <v>19</v>
      </c>
      <c r="C8" s="1" t="s">
        <v>15</v>
      </c>
      <c r="D8" s="1" t="s">
        <v>13</v>
      </c>
      <c r="E8" s="3">
        <v>47000</v>
      </c>
      <c r="G8" s="12" t="s">
        <v>12</v>
      </c>
      <c r="H8" s="11">
        <v>410000</v>
      </c>
      <c r="K8" s="12" t="s">
        <v>10</v>
      </c>
      <c r="L8" s="11">
        <v>385500</v>
      </c>
    </row>
    <row r="9" spans="1:13" x14ac:dyDescent="0.3">
      <c r="A9" s="2">
        <v>45359</v>
      </c>
      <c r="B9" s="1" t="s">
        <v>20</v>
      </c>
      <c r="C9" s="1" t="s">
        <v>12</v>
      </c>
      <c r="D9" s="1" t="s">
        <v>7</v>
      </c>
      <c r="E9" s="3">
        <v>55000</v>
      </c>
    </row>
    <row r="10" spans="1:13" x14ac:dyDescent="0.3">
      <c r="A10" s="2">
        <v>45360</v>
      </c>
      <c r="B10" s="1" t="s">
        <v>21</v>
      </c>
      <c r="C10" s="1" t="s">
        <v>6</v>
      </c>
      <c r="D10" s="1" t="s">
        <v>17</v>
      </c>
      <c r="E10" s="3">
        <v>26000</v>
      </c>
    </row>
    <row r="11" spans="1:13" x14ac:dyDescent="0.3">
      <c r="A11" s="2">
        <v>45361</v>
      </c>
      <c r="B11" s="1" t="s">
        <v>22</v>
      </c>
      <c r="C11" s="1" t="s">
        <v>15</v>
      </c>
      <c r="D11" s="1" t="s">
        <v>10</v>
      </c>
      <c r="E11" s="3">
        <v>31000</v>
      </c>
      <c r="G11" s="13" t="s">
        <v>69</v>
      </c>
      <c r="H11" s="13"/>
      <c r="I11" s="13"/>
      <c r="J11" s="13"/>
    </row>
    <row r="12" spans="1:13" x14ac:dyDescent="0.3">
      <c r="A12" s="2">
        <v>45362</v>
      </c>
      <c r="B12" s="1" t="s">
        <v>23</v>
      </c>
      <c r="C12" s="1" t="s">
        <v>9</v>
      </c>
      <c r="D12" s="1" t="s">
        <v>7</v>
      </c>
      <c r="E12" s="3">
        <v>48000</v>
      </c>
    </row>
    <row r="13" spans="1:13" x14ac:dyDescent="0.3">
      <c r="A13" s="2">
        <v>45363</v>
      </c>
      <c r="B13" s="1" t="s">
        <v>24</v>
      </c>
      <c r="C13" s="1" t="s">
        <v>12</v>
      </c>
      <c r="D13" s="1" t="s">
        <v>13</v>
      </c>
      <c r="E13" s="3">
        <v>34000</v>
      </c>
      <c r="H13" s="16" t="s">
        <v>2</v>
      </c>
      <c r="I13" s="16" t="s">
        <v>4</v>
      </c>
    </row>
    <row r="14" spans="1:13" x14ac:dyDescent="0.3">
      <c r="A14" s="2">
        <v>45364</v>
      </c>
      <c r="B14" s="1" t="s">
        <v>25</v>
      </c>
      <c r="C14" s="1" t="s">
        <v>15</v>
      </c>
      <c r="D14" s="1" t="s">
        <v>17</v>
      </c>
      <c r="E14" s="3">
        <v>42000</v>
      </c>
      <c r="H14" s="17" t="s">
        <v>15</v>
      </c>
      <c r="I14" s="11">
        <f>COUNTIFS(Table1[Region],H14,Table1[Sales],"&gt;40000")</f>
        <v>6</v>
      </c>
    </row>
    <row r="15" spans="1:13" x14ac:dyDescent="0.3">
      <c r="A15" s="2">
        <v>45365</v>
      </c>
      <c r="B15" s="1" t="s">
        <v>26</v>
      </c>
      <c r="C15" s="1" t="s">
        <v>6</v>
      </c>
      <c r="D15" s="1" t="s">
        <v>7</v>
      </c>
      <c r="E15" s="3">
        <v>70000</v>
      </c>
    </row>
    <row r="16" spans="1:13" x14ac:dyDescent="0.3">
      <c r="A16" s="2">
        <v>45366</v>
      </c>
      <c r="B16" s="1" t="s">
        <v>27</v>
      </c>
      <c r="C16" s="1" t="s">
        <v>12</v>
      </c>
      <c r="D16" s="1" t="s">
        <v>10</v>
      </c>
      <c r="E16" s="3">
        <v>29000</v>
      </c>
    </row>
    <row r="17" spans="1:10" x14ac:dyDescent="0.3">
      <c r="A17" s="2">
        <v>45367</v>
      </c>
      <c r="B17" s="1" t="s">
        <v>28</v>
      </c>
      <c r="C17" s="1" t="s">
        <v>9</v>
      </c>
      <c r="D17" s="1" t="s">
        <v>13</v>
      </c>
      <c r="E17" s="3">
        <v>51000</v>
      </c>
      <c r="G17" s="13" t="s">
        <v>72</v>
      </c>
      <c r="H17" s="13"/>
      <c r="I17" s="13"/>
      <c r="J17" s="13"/>
    </row>
    <row r="18" spans="1:10" x14ac:dyDescent="0.3">
      <c r="A18" s="2">
        <v>45368</v>
      </c>
      <c r="B18" s="1" t="s">
        <v>29</v>
      </c>
      <c r="C18" s="1" t="s">
        <v>15</v>
      </c>
      <c r="D18" s="1" t="s">
        <v>17</v>
      </c>
      <c r="E18" s="3">
        <v>36000</v>
      </c>
    </row>
    <row r="19" spans="1:10" x14ac:dyDescent="0.3">
      <c r="A19" s="2">
        <v>45369</v>
      </c>
      <c r="B19" s="1" t="s">
        <v>30</v>
      </c>
      <c r="C19" s="1" t="s">
        <v>6</v>
      </c>
      <c r="D19" s="1" t="s">
        <v>7</v>
      </c>
      <c r="E19" s="3">
        <v>62000</v>
      </c>
      <c r="H19" s="10" t="s">
        <v>2</v>
      </c>
      <c r="I19" s="11" t="s">
        <v>73</v>
      </c>
    </row>
    <row r="20" spans="1:10" x14ac:dyDescent="0.3">
      <c r="A20" s="2">
        <v>45370</v>
      </c>
      <c r="B20" s="1" t="s">
        <v>31</v>
      </c>
      <c r="C20" s="1" t="s">
        <v>12</v>
      </c>
      <c r="D20" s="1" t="s">
        <v>10</v>
      </c>
      <c r="E20" s="3">
        <v>27000</v>
      </c>
      <c r="H20" s="12" t="s">
        <v>6</v>
      </c>
      <c r="I20" s="19">
        <v>607500</v>
      </c>
    </row>
    <row r="21" spans="1:10" x14ac:dyDescent="0.3">
      <c r="A21" s="2">
        <v>45371</v>
      </c>
      <c r="B21" s="1" t="s">
        <v>32</v>
      </c>
      <c r="C21" s="1" t="s">
        <v>15</v>
      </c>
      <c r="D21" s="1" t="s">
        <v>13</v>
      </c>
      <c r="E21" s="3">
        <v>33000</v>
      </c>
    </row>
    <row r="22" spans="1:10" x14ac:dyDescent="0.3">
      <c r="A22" s="2">
        <v>45372</v>
      </c>
      <c r="B22" s="1" t="s">
        <v>33</v>
      </c>
      <c r="C22" s="1" t="s">
        <v>9</v>
      </c>
      <c r="D22" s="1" t="s">
        <v>7</v>
      </c>
      <c r="E22" s="3">
        <v>54000</v>
      </c>
    </row>
    <row r="23" spans="1:10" x14ac:dyDescent="0.3">
      <c r="A23" s="2">
        <v>45373</v>
      </c>
      <c r="B23" s="1" t="s">
        <v>34</v>
      </c>
      <c r="C23" s="1" t="s">
        <v>6</v>
      </c>
      <c r="D23" s="1" t="s">
        <v>17</v>
      </c>
      <c r="E23" s="3">
        <v>46000</v>
      </c>
    </row>
    <row r="24" spans="1:10" x14ac:dyDescent="0.3">
      <c r="A24" s="2">
        <v>45374</v>
      </c>
      <c r="B24" s="1" t="s">
        <v>35</v>
      </c>
      <c r="C24" s="1" t="s">
        <v>15</v>
      </c>
      <c r="D24" s="1" t="s">
        <v>10</v>
      </c>
      <c r="E24" s="3">
        <v>30000</v>
      </c>
    </row>
    <row r="25" spans="1:10" x14ac:dyDescent="0.3">
      <c r="A25" s="2">
        <v>45375</v>
      </c>
      <c r="B25" s="1" t="s">
        <v>36</v>
      </c>
      <c r="C25" s="1" t="s">
        <v>12</v>
      </c>
      <c r="D25" s="1" t="s">
        <v>13</v>
      </c>
      <c r="E25" s="3">
        <v>37000</v>
      </c>
    </row>
    <row r="26" spans="1:10" x14ac:dyDescent="0.3">
      <c r="A26" s="2">
        <v>45376</v>
      </c>
      <c r="B26" s="1" t="s">
        <v>37</v>
      </c>
      <c r="C26" s="1" t="s">
        <v>9</v>
      </c>
      <c r="D26" s="1" t="s">
        <v>7</v>
      </c>
      <c r="E26" s="3">
        <v>58000</v>
      </c>
    </row>
    <row r="27" spans="1:10" x14ac:dyDescent="0.3">
      <c r="A27" s="2">
        <v>45377</v>
      </c>
      <c r="B27" s="1" t="s">
        <v>38</v>
      </c>
      <c r="C27" s="1" t="s">
        <v>15</v>
      </c>
      <c r="D27" s="1" t="s">
        <v>17</v>
      </c>
      <c r="E27" s="3">
        <v>41000</v>
      </c>
    </row>
    <row r="28" spans="1:10" x14ac:dyDescent="0.3">
      <c r="A28" s="2">
        <v>45378</v>
      </c>
      <c r="B28" s="1" t="s">
        <v>39</v>
      </c>
      <c r="C28" s="1" t="s">
        <v>6</v>
      </c>
      <c r="D28" s="1" t="s">
        <v>10</v>
      </c>
      <c r="E28" s="3">
        <v>35000</v>
      </c>
    </row>
    <row r="29" spans="1:10" x14ac:dyDescent="0.3">
      <c r="A29" s="2">
        <v>45379</v>
      </c>
      <c r="B29" s="1" t="s">
        <v>40</v>
      </c>
      <c r="C29" s="1" t="s">
        <v>9</v>
      </c>
      <c r="D29" s="1" t="s">
        <v>13</v>
      </c>
      <c r="E29" s="3">
        <v>26000</v>
      </c>
    </row>
    <row r="30" spans="1:10" x14ac:dyDescent="0.3">
      <c r="A30" s="2">
        <v>45380</v>
      </c>
      <c r="B30" s="1" t="s">
        <v>41</v>
      </c>
      <c r="C30" s="1" t="s">
        <v>12</v>
      </c>
      <c r="D30" s="1" t="s">
        <v>7</v>
      </c>
      <c r="E30" s="3">
        <v>49000</v>
      </c>
    </row>
    <row r="31" spans="1:10" x14ac:dyDescent="0.3">
      <c r="A31" s="2">
        <v>45381</v>
      </c>
      <c r="B31" s="1" t="s">
        <v>42</v>
      </c>
      <c r="C31" s="1" t="s">
        <v>15</v>
      </c>
      <c r="D31" s="1" t="s">
        <v>17</v>
      </c>
      <c r="E31" s="3">
        <v>44000</v>
      </c>
    </row>
    <row r="32" spans="1:10" x14ac:dyDescent="0.3">
      <c r="A32" s="2">
        <v>45382</v>
      </c>
      <c r="B32" s="1" t="s">
        <v>43</v>
      </c>
      <c r="C32" s="1" t="s">
        <v>6</v>
      </c>
      <c r="D32" s="1" t="s">
        <v>10</v>
      </c>
      <c r="E32" s="3">
        <v>38000</v>
      </c>
    </row>
    <row r="33" spans="1:5" x14ac:dyDescent="0.3">
      <c r="A33" s="2">
        <v>45383</v>
      </c>
      <c r="B33" s="1" t="s">
        <v>44</v>
      </c>
      <c r="C33" s="1" t="s">
        <v>9</v>
      </c>
      <c r="D33" s="1" t="s">
        <v>13</v>
      </c>
      <c r="E33" s="3">
        <v>52000</v>
      </c>
    </row>
    <row r="34" spans="1:5" x14ac:dyDescent="0.3">
      <c r="A34" s="2">
        <v>45384</v>
      </c>
      <c r="B34" s="1" t="s">
        <v>45</v>
      </c>
      <c r="C34" s="1" t="s">
        <v>15</v>
      </c>
      <c r="D34" s="1" t="s">
        <v>7</v>
      </c>
      <c r="E34" s="3">
        <v>31000</v>
      </c>
    </row>
    <row r="35" spans="1:5" x14ac:dyDescent="0.3">
      <c r="A35" s="2">
        <v>45385</v>
      </c>
      <c r="B35" s="1" t="s">
        <v>46</v>
      </c>
      <c r="C35" s="1" t="s">
        <v>12</v>
      </c>
      <c r="D35" s="1" t="s">
        <v>17</v>
      </c>
      <c r="E35" s="3">
        <v>57000</v>
      </c>
    </row>
    <row r="36" spans="1:5" x14ac:dyDescent="0.3">
      <c r="A36" s="2">
        <v>45386</v>
      </c>
      <c r="B36" s="1" t="s">
        <v>47</v>
      </c>
      <c r="C36" s="1" t="s">
        <v>9</v>
      </c>
      <c r="D36" s="1" t="s">
        <v>10</v>
      </c>
      <c r="E36" s="3">
        <v>29500</v>
      </c>
    </row>
    <row r="37" spans="1:5" x14ac:dyDescent="0.3">
      <c r="A37" s="2">
        <v>45387</v>
      </c>
      <c r="B37" s="1" t="s">
        <v>48</v>
      </c>
      <c r="C37" s="1" t="s">
        <v>6</v>
      </c>
      <c r="D37" s="1" t="s">
        <v>13</v>
      </c>
      <c r="E37" s="3">
        <v>46500</v>
      </c>
    </row>
    <row r="38" spans="1:5" x14ac:dyDescent="0.3">
      <c r="A38" s="2">
        <v>45388</v>
      </c>
      <c r="B38" s="1" t="s">
        <v>49</v>
      </c>
      <c r="C38" s="1" t="s">
        <v>15</v>
      </c>
      <c r="D38" s="1" t="s">
        <v>7</v>
      </c>
      <c r="E38" s="3">
        <v>61000</v>
      </c>
    </row>
    <row r="39" spans="1:5" x14ac:dyDescent="0.3">
      <c r="A39" s="2">
        <v>45389</v>
      </c>
      <c r="B39" s="1" t="s">
        <v>50</v>
      </c>
      <c r="C39" s="1" t="s">
        <v>9</v>
      </c>
      <c r="D39" s="1" t="s">
        <v>17</v>
      </c>
      <c r="E39" s="3">
        <v>35500</v>
      </c>
    </row>
    <row r="40" spans="1:5" x14ac:dyDescent="0.3">
      <c r="A40" s="2">
        <v>45390</v>
      </c>
      <c r="B40" s="1" t="s">
        <v>51</v>
      </c>
      <c r="C40" s="1" t="s">
        <v>12</v>
      </c>
      <c r="D40" s="1" t="s">
        <v>10</v>
      </c>
      <c r="E40" s="3">
        <v>27500</v>
      </c>
    </row>
    <row r="41" spans="1:5" x14ac:dyDescent="0.3">
      <c r="A41" s="2">
        <v>45391</v>
      </c>
      <c r="B41" s="1" t="s">
        <v>52</v>
      </c>
      <c r="C41" s="1" t="s">
        <v>15</v>
      </c>
      <c r="D41" s="1" t="s">
        <v>13</v>
      </c>
      <c r="E41" s="3">
        <v>33500</v>
      </c>
    </row>
    <row r="42" spans="1:5" x14ac:dyDescent="0.3">
      <c r="A42" s="2">
        <v>45392</v>
      </c>
      <c r="B42" s="1" t="s">
        <v>53</v>
      </c>
      <c r="C42" s="1" t="s">
        <v>6</v>
      </c>
      <c r="D42" s="1" t="s">
        <v>7</v>
      </c>
      <c r="E42" s="3">
        <v>68000</v>
      </c>
    </row>
    <row r="43" spans="1:5" x14ac:dyDescent="0.3">
      <c r="A43" s="2">
        <v>45393</v>
      </c>
      <c r="B43" s="1" t="s">
        <v>54</v>
      </c>
      <c r="C43" s="1" t="s">
        <v>9</v>
      </c>
      <c r="D43" s="1" t="s">
        <v>17</v>
      </c>
      <c r="E43" s="3">
        <v>43000</v>
      </c>
    </row>
    <row r="44" spans="1:5" x14ac:dyDescent="0.3">
      <c r="A44" s="2">
        <v>45394</v>
      </c>
      <c r="B44" s="1" t="s">
        <v>55</v>
      </c>
      <c r="C44" s="1" t="s">
        <v>15</v>
      </c>
      <c r="D44" s="1" t="s">
        <v>10</v>
      </c>
      <c r="E44" s="3">
        <v>31500</v>
      </c>
    </row>
    <row r="45" spans="1:5" x14ac:dyDescent="0.3">
      <c r="A45" s="2">
        <v>45395</v>
      </c>
      <c r="B45" s="1" t="s">
        <v>56</v>
      </c>
      <c r="C45" s="1" t="s">
        <v>12</v>
      </c>
      <c r="D45" s="1" t="s">
        <v>13</v>
      </c>
      <c r="E45" s="3">
        <v>25500</v>
      </c>
    </row>
    <row r="46" spans="1:5" x14ac:dyDescent="0.3">
      <c r="A46" s="2">
        <v>45396</v>
      </c>
      <c r="B46" s="1" t="s">
        <v>57</v>
      </c>
      <c r="C46" s="1" t="s">
        <v>9</v>
      </c>
      <c r="D46" s="1" t="s">
        <v>7</v>
      </c>
      <c r="E46" s="3">
        <v>60000</v>
      </c>
    </row>
    <row r="47" spans="1:5" x14ac:dyDescent="0.3">
      <c r="A47" s="2">
        <v>45397</v>
      </c>
      <c r="B47" s="1" t="s">
        <v>58</v>
      </c>
      <c r="C47" s="1" t="s">
        <v>6</v>
      </c>
      <c r="D47" s="1" t="s">
        <v>17</v>
      </c>
      <c r="E47" s="3">
        <v>47000</v>
      </c>
    </row>
    <row r="48" spans="1:5" x14ac:dyDescent="0.3">
      <c r="A48" s="2">
        <v>45398</v>
      </c>
      <c r="B48" s="1" t="s">
        <v>59</v>
      </c>
      <c r="C48" s="1" t="s">
        <v>15</v>
      </c>
      <c r="D48" s="1" t="s">
        <v>10</v>
      </c>
      <c r="E48" s="3">
        <v>36000</v>
      </c>
    </row>
    <row r="49" spans="1:5" x14ac:dyDescent="0.3">
      <c r="A49" s="2">
        <v>45399</v>
      </c>
      <c r="B49" s="1" t="s">
        <v>60</v>
      </c>
      <c r="C49" s="1" t="s">
        <v>12</v>
      </c>
      <c r="D49" s="1" t="s">
        <v>13</v>
      </c>
      <c r="E49" s="3">
        <v>41000</v>
      </c>
    </row>
    <row r="50" spans="1:5" x14ac:dyDescent="0.3">
      <c r="A50" s="2">
        <v>45400</v>
      </c>
      <c r="B50" s="1" t="s">
        <v>61</v>
      </c>
      <c r="C50" s="1" t="s">
        <v>6</v>
      </c>
      <c r="D50" s="1" t="s">
        <v>7</v>
      </c>
      <c r="E50" s="3">
        <v>53000</v>
      </c>
    </row>
    <row r="51" spans="1:5" x14ac:dyDescent="0.3">
      <c r="A51" s="7">
        <v>45401</v>
      </c>
      <c r="B51" s="8" t="s">
        <v>62</v>
      </c>
      <c r="C51" s="8" t="s">
        <v>9</v>
      </c>
      <c r="D51" s="8" t="s">
        <v>17</v>
      </c>
      <c r="E51" s="9">
        <v>39000</v>
      </c>
    </row>
  </sheetData>
  <mergeCells count="4">
    <mergeCell ref="G17:J17"/>
    <mergeCell ref="G2:H2"/>
    <mergeCell ref="G11:J11"/>
    <mergeCell ref="J2:M2"/>
  </mergeCell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4D76-0B90-4B68-A094-48A2A6296847}">
  <dimension ref="A1:J51"/>
  <sheetViews>
    <sheetView workbookViewId="0">
      <selection activeCell="A28" sqref="A28"/>
    </sheetView>
  </sheetViews>
  <sheetFormatPr defaultColWidth="16.5546875" defaultRowHeight="14.4" x14ac:dyDescent="0.3"/>
  <sheetData>
    <row r="1" spans="1:10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68</v>
      </c>
    </row>
    <row r="2" spans="1:10" x14ac:dyDescent="0.3">
      <c r="A2" s="2">
        <v>45352</v>
      </c>
      <c r="B2" s="1" t="s">
        <v>5</v>
      </c>
      <c r="C2" s="1" t="s">
        <v>6</v>
      </c>
      <c r="D2" s="1" t="s">
        <v>7</v>
      </c>
      <c r="E2" s="3">
        <v>55000</v>
      </c>
      <c r="F2" s="15" t="str">
        <f>IF(Table13[[#This Row],[Sales]]&gt;50000,"HIGH","NORMAL")</f>
        <v>HIGH</v>
      </c>
    </row>
    <row r="3" spans="1:10" x14ac:dyDescent="0.3">
      <c r="A3" s="2">
        <v>45353</v>
      </c>
      <c r="B3" s="1" t="s">
        <v>8</v>
      </c>
      <c r="C3" s="1" t="s">
        <v>9</v>
      </c>
      <c r="D3" s="1" t="s">
        <v>10</v>
      </c>
      <c r="E3" s="3">
        <v>32000</v>
      </c>
      <c r="F3" s="1" t="str">
        <f>IF(Table13[[#This Row],[Sales]]&gt;50000,"HIGH","NORMAL")</f>
        <v>NORMAL</v>
      </c>
    </row>
    <row r="4" spans="1:10" x14ac:dyDescent="0.3">
      <c r="A4" s="2">
        <v>45354</v>
      </c>
      <c r="B4" s="1" t="s">
        <v>11</v>
      </c>
      <c r="C4" s="1" t="s">
        <v>12</v>
      </c>
      <c r="D4" s="1" t="s">
        <v>13</v>
      </c>
      <c r="E4" s="3">
        <v>28000</v>
      </c>
      <c r="F4" s="1" t="str">
        <f>IF(Table13[[#This Row],[Sales]]&gt;50000,"HIGH","NORMAL")</f>
        <v>NORMAL</v>
      </c>
    </row>
    <row r="5" spans="1:10" x14ac:dyDescent="0.3">
      <c r="A5" s="2">
        <v>45355</v>
      </c>
      <c r="B5" s="1" t="s">
        <v>14</v>
      </c>
      <c r="C5" s="1" t="s">
        <v>15</v>
      </c>
      <c r="D5" s="1" t="s">
        <v>7</v>
      </c>
      <c r="E5" s="3">
        <v>52000</v>
      </c>
      <c r="F5" s="1" t="str">
        <f>IF(Table13[[#This Row],[Sales]]&gt;50000,"HIGH","NORMAL")</f>
        <v>HIGH</v>
      </c>
    </row>
    <row r="6" spans="1:10" x14ac:dyDescent="0.3">
      <c r="A6" s="2">
        <v>45356</v>
      </c>
      <c r="B6" s="1" t="s">
        <v>16</v>
      </c>
      <c r="C6" s="1" t="s">
        <v>6</v>
      </c>
      <c r="D6" s="1" t="s">
        <v>17</v>
      </c>
      <c r="E6" s="3">
        <v>61000</v>
      </c>
      <c r="F6" s="1" t="str">
        <f>IF(Table13[[#This Row],[Sales]]&gt;50000,"HIGH","NORMAL")</f>
        <v>HIGH</v>
      </c>
    </row>
    <row r="7" spans="1:10" x14ac:dyDescent="0.3">
      <c r="A7" s="2">
        <v>45357</v>
      </c>
      <c r="B7" s="1" t="s">
        <v>18</v>
      </c>
      <c r="C7" s="1" t="s">
        <v>9</v>
      </c>
      <c r="D7" s="1" t="s">
        <v>10</v>
      </c>
      <c r="E7" s="3">
        <v>39000</v>
      </c>
      <c r="F7" s="1" t="str">
        <f>IF(Table13[[#This Row],[Sales]]&gt;50000,"HIGH","NORMAL")</f>
        <v>NORMAL</v>
      </c>
    </row>
    <row r="8" spans="1:10" x14ac:dyDescent="0.3">
      <c r="A8" s="2">
        <v>45358</v>
      </c>
      <c r="B8" s="1" t="s">
        <v>19</v>
      </c>
      <c r="C8" s="1" t="s">
        <v>15</v>
      </c>
      <c r="D8" s="1" t="s">
        <v>13</v>
      </c>
      <c r="E8" s="3">
        <v>47000</v>
      </c>
      <c r="F8" s="1" t="str">
        <f>IF(Table13[[#This Row],[Sales]]&gt;50000,"HIGH","NORMAL")</f>
        <v>NORMAL</v>
      </c>
    </row>
    <row r="9" spans="1:10" x14ac:dyDescent="0.3">
      <c r="A9" s="2">
        <v>45359</v>
      </c>
      <c r="B9" s="1" t="s">
        <v>20</v>
      </c>
      <c r="C9" s="1" t="s">
        <v>12</v>
      </c>
      <c r="D9" s="1" t="s">
        <v>7</v>
      </c>
      <c r="E9" s="3">
        <v>55000</v>
      </c>
      <c r="F9" s="1" t="str">
        <f>IF(Table13[[#This Row],[Sales]]&gt;50000,"HIGH","NORMAL")</f>
        <v>HIGH</v>
      </c>
    </row>
    <row r="10" spans="1:10" ht="15.6" x14ac:dyDescent="0.3">
      <c r="A10" s="2">
        <v>45360</v>
      </c>
      <c r="B10" s="1" t="s">
        <v>21</v>
      </c>
      <c r="C10" s="1" t="s">
        <v>6</v>
      </c>
      <c r="D10" s="1" t="s">
        <v>17</v>
      </c>
      <c r="E10" s="3">
        <v>26000</v>
      </c>
      <c r="F10" s="1" t="str">
        <f>IF(Table13[[#This Row],[Sales]]&gt;50000,"HIGH","NORMAL")</f>
        <v>NORMAL</v>
      </c>
      <c r="H10" s="14" t="s">
        <v>67</v>
      </c>
      <c r="I10" s="14"/>
      <c r="J10" s="14"/>
    </row>
    <row r="11" spans="1:10" x14ac:dyDescent="0.3">
      <c r="A11" s="2">
        <v>45361</v>
      </c>
      <c r="B11" s="1" t="s">
        <v>22</v>
      </c>
      <c r="C11" s="1" t="s">
        <v>15</v>
      </c>
      <c r="D11" s="1" t="s">
        <v>10</v>
      </c>
      <c r="E11" s="3">
        <v>31000</v>
      </c>
      <c r="F11" s="1" t="str">
        <f>IF(Table13[[#This Row],[Sales]]&gt;50000,"HIGH","NORMAL")</f>
        <v>NORMAL</v>
      </c>
    </row>
    <row r="12" spans="1:10" x14ac:dyDescent="0.3">
      <c r="A12" s="2">
        <v>45362</v>
      </c>
      <c r="B12" s="1" t="s">
        <v>23</v>
      </c>
      <c r="C12" s="1" t="s">
        <v>9</v>
      </c>
      <c r="D12" s="1" t="s">
        <v>7</v>
      </c>
      <c r="E12" s="3">
        <v>48000</v>
      </c>
      <c r="F12" s="1" t="str">
        <f>IF(Table13[[#This Row],[Sales]]&gt;50000,"HIGH","NORMAL")</f>
        <v>NORMAL</v>
      </c>
    </row>
    <row r="13" spans="1:10" x14ac:dyDescent="0.3">
      <c r="A13" s="2">
        <v>45363</v>
      </c>
      <c r="B13" s="1" t="s">
        <v>24</v>
      </c>
      <c r="C13" s="1" t="s">
        <v>12</v>
      </c>
      <c r="D13" s="1" t="s">
        <v>13</v>
      </c>
      <c r="E13" s="3">
        <v>34000</v>
      </c>
      <c r="F13" s="1" t="str">
        <f>IF(Table13[[#This Row],[Sales]]&gt;50000,"HIGH","NORMAL")</f>
        <v>NORMAL</v>
      </c>
    </row>
    <row r="14" spans="1:10" x14ac:dyDescent="0.3">
      <c r="A14" s="2">
        <v>45364</v>
      </c>
      <c r="B14" s="1" t="s">
        <v>25</v>
      </c>
      <c r="C14" s="1" t="s">
        <v>15</v>
      </c>
      <c r="D14" s="1" t="s">
        <v>17</v>
      </c>
      <c r="E14" s="3">
        <v>42000</v>
      </c>
      <c r="F14" s="1" t="str">
        <f>IF(Table13[[#This Row],[Sales]]&gt;50000,"HIGH","NORMAL")</f>
        <v>NORMAL</v>
      </c>
    </row>
    <row r="15" spans="1:10" x14ac:dyDescent="0.3">
      <c r="A15" s="2">
        <v>45365</v>
      </c>
      <c r="B15" s="1" t="s">
        <v>26</v>
      </c>
      <c r="C15" s="1" t="s">
        <v>6</v>
      </c>
      <c r="D15" s="1" t="s">
        <v>7</v>
      </c>
      <c r="E15" s="3">
        <v>70000</v>
      </c>
      <c r="F15" s="1" t="str">
        <f>IF(Table13[[#This Row],[Sales]]&gt;50000,"HIGH","NORMAL")</f>
        <v>HIGH</v>
      </c>
    </row>
    <row r="16" spans="1:10" x14ac:dyDescent="0.3">
      <c r="A16" s="2">
        <v>45366</v>
      </c>
      <c r="B16" s="1" t="s">
        <v>27</v>
      </c>
      <c r="C16" s="1" t="s">
        <v>12</v>
      </c>
      <c r="D16" s="1" t="s">
        <v>10</v>
      </c>
      <c r="E16" s="3">
        <v>29000</v>
      </c>
      <c r="F16" s="1" t="str">
        <f>IF(Table13[[#This Row],[Sales]]&gt;50000,"HIGH","NORMAL")</f>
        <v>NORMAL</v>
      </c>
    </row>
    <row r="17" spans="1:6" x14ac:dyDescent="0.3">
      <c r="A17" s="2">
        <v>45367</v>
      </c>
      <c r="B17" s="1" t="s">
        <v>28</v>
      </c>
      <c r="C17" s="1" t="s">
        <v>9</v>
      </c>
      <c r="D17" s="1" t="s">
        <v>13</v>
      </c>
      <c r="E17" s="3">
        <v>51000</v>
      </c>
      <c r="F17" s="1" t="str">
        <f>IF(Table13[[#This Row],[Sales]]&gt;50000,"HIGH","NORMAL")</f>
        <v>HIGH</v>
      </c>
    </row>
    <row r="18" spans="1:6" x14ac:dyDescent="0.3">
      <c r="A18" s="2">
        <v>45368</v>
      </c>
      <c r="B18" s="1" t="s">
        <v>29</v>
      </c>
      <c r="C18" s="1" t="s">
        <v>15</v>
      </c>
      <c r="D18" s="1" t="s">
        <v>17</v>
      </c>
      <c r="E18" s="3">
        <v>36000</v>
      </c>
      <c r="F18" s="1" t="str">
        <f>IF(Table13[[#This Row],[Sales]]&gt;50000,"HIGH","NORMAL")</f>
        <v>NORMAL</v>
      </c>
    </row>
    <row r="19" spans="1:6" x14ac:dyDescent="0.3">
      <c r="A19" s="2">
        <v>45369</v>
      </c>
      <c r="B19" s="1" t="s">
        <v>30</v>
      </c>
      <c r="C19" s="1" t="s">
        <v>6</v>
      </c>
      <c r="D19" s="1" t="s">
        <v>7</v>
      </c>
      <c r="E19" s="3">
        <v>62000</v>
      </c>
      <c r="F19" s="1" t="str">
        <f>IF(Table13[[#This Row],[Sales]]&gt;50000,"HIGH","NORMAL")</f>
        <v>HIGH</v>
      </c>
    </row>
    <row r="20" spans="1:6" x14ac:dyDescent="0.3">
      <c r="A20" s="2">
        <v>45370</v>
      </c>
      <c r="B20" s="1" t="s">
        <v>31</v>
      </c>
      <c r="C20" s="1" t="s">
        <v>12</v>
      </c>
      <c r="D20" s="1" t="s">
        <v>10</v>
      </c>
      <c r="E20" s="3">
        <v>27000</v>
      </c>
      <c r="F20" s="1" t="str">
        <f>IF(Table13[[#This Row],[Sales]]&gt;50000,"HIGH","NORMAL")</f>
        <v>NORMAL</v>
      </c>
    </row>
    <row r="21" spans="1:6" x14ac:dyDescent="0.3">
      <c r="A21" s="2">
        <v>45371</v>
      </c>
      <c r="B21" s="1" t="s">
        <v>32</v>
      </c>
      <c r="C21" s="1" t="s">
        <v>15</v>
      </c>
      <c r="D21" s="1" t="s">
        <v>13</v>
      </c>
      <c r="E21" s="3">
        <v>33000</v>
      </c>
      <c r="F21" s="1" t="str">
        <f>IF(Table13[[#This Row],[Sales]]&gt;50000,"HIGH","NORMAL")</f>
        <v>NORMAL</v>
      </c>
    </row>
    <row r="22" spans="1:6" x14ac:dyDescent="0.3">
      <c r="A22" s="2">
        <v>45372</v>
      </c>
      <c r="B22" s="1" t="s">
        <v>33</v>
      </c>
      <c r="C22" s="1" t="s">
        <v>9</v>
      </c>
      <c r="D22" s="1" t="s">
        <v>7</v>
      </c>
      <c r="E22" s="3">
        <v>54000</v>
      </c>
      <c r="F22" s="1" t="str">
        <f>IF(Table13[[#This Row],[Sales]]&gt;50000,"HIGH","NORMAL")</f>
        <v>HIGH</v>
      </c>
    </row>
    <row r="23" spans="1:6" x14ac:dyDescent="0.3">
      <c r="A23" s="2">
        <v>45373</v>
      </c>
      <c r="B23" s="1" t="s">
        <v>34</v>
      </c>
      <c r="C23" s="1" t="s">
        <v>6</v>
      </c>
      <c r="D23" s="1" t="s">
        <v>17</v>
      </c>
      <c r="E23" s="3">
        <v>46000</v>
      </c>
      <c r="F23" s="1" t="str">
        <f>IF(Table13[[#This Row],[Sales]]&gt;50000,"HIGH","NORMAL")</f>
        <v>NORMAL</v>
      </c>
    </row>
    <row r="24" spans="1:6" x14ac:dyDescent="0.3">
      <c r="A24" s="2">
        <v>45374</v>
      </c>
      <c r="B24" s="1" t="s">
        <v>35</v>
      </c>
      <c r="C24" s="1" t="s">
        <v>15</v>
      </c>
      <c r="D24" s="1" t="s">
        <v>10</v>
      </c>
      <c r="E24" s="3">
        <v>30000</v>
      </c>
      <c r="F24" s="1" t="str">
        <f>IF(Table13[[#This Row],[Sales]]&gt;50000,"HIGH","NORMAL")</f>
        <v>NORMAL</v>
      </c>
    </row>
    <row r="25" spans="1:6" x14ac:dyDescent="0.3">
      <c r="A25" s="2">
        <v>45375</v>
      </c>
      <c r="B25" s="1" t="s">
        <v>36</v>
      </c>
      <c r="C25" s="1" t="s">
        <v>12</v>
      </c>
      <c r="D25" s="1" t="s">
        <v>13</v>
      </c>
      <c r="E25" s="3">
        <v>37000</v>
      </c>
      <c r="F25" s="1" t="str">
        <f>IF(Table13[[#This Row],[Sales]]&gt;50000,"HIGH","NORMAL")</f>
        <v>NORMAL</v>
      </c>
    </row>
    <row r="26" spans="1:6" x14ac:dyDescent="0.3">
      <c r="A26" s="2">
        <v>45376</v>
      </c>
      <c r="B26" s="1" t="s">
        <v>37</v>
      </c>
      <c r="C26" s="1" t="s">
        <v>9</v>
      </c>
      <c r="D26" s="1" t="s">
        <v>7</v>
      </c>
      <c r="E26" s="3">
        <v>58000</v>
      </c>
      <c r="F26" s="1" t="str">
        <f>IF(Table13[[#This Row],[Sales]]&gt;50000,"HIGH","NORMAL")</f>
        <v>HIGH</v>
      </c>
    </row>
    <row r="27" spans="1:6" x14ac:dyDescent="0.3">
      <c r="A27" s="2">
        <v>45377</v>
      </c>
      <c r="B27" s="1" t="s">
        <v>38</v>
      </c>
      <c r="C27" s="1" t="s">
        <v>15</v>
      </c>
      <c r="D27" s="1" t="s">
        <v>17</v>
      </c>
      <c r="E27" s="3">
        <v>41000</v>
      </c>
      <c r="F27" s="1" t="str">
        <f>IF(Table13[[#This Row],[Sales]]&gt;50000,"HIGH","NORMAL")</f>
        <v>NORMAL</v>
      </c>
    </row>
    <row r="28" spans="1:6" x14ac:dyDescent="0.3">
      <c r="A28" s="2">
        <v>45378</v>
      </c>
      <c r="B28" s="1" t="s">
        <v>39</v>
      </c>
      <c r="C28" s="1" t="s">
        <v>6</v>
      </c>
      <c r="D28" s="1" t="s">
        <v>10</v>
      </c>
      <c r="E28" s="3">
        <v>35000</v>
      </c>
      <c r="F28" s="1" t="str">
        <f>IF(Table13[[#This Row],[Sales]]&gt;50000,"HIGH","NORMAL")</f>
        <v>NORMAL</v>
      </c>
    </row>
    <row r="29" spans="1:6" x14ac:dyDescent="0.3">
      <c r="A29" s="2">
        <v>45379</v>
      </c>
      <c r="B29" s="1" t="s">
        <v>40</v>
      </c>
      <c r="C29" s="1" t="s">
        <v>9</v>
      </c>
      <c r="D29" s="1" t="s">
        <v>13</v>
      </c>
      <c r="E29" s="3">
        <v>26000</v>
      </c>
      <c r="F29" s="1" t="str">
        <f>IF(Table13[[#This Row],[Sales]]&gt;50000,"HIGH","NORMAL")</f>
        <v>NORMAL</v>
      </c>
    </row>
    <row r="30" spans="1:6" x14ac:dyDescent="0.3">
      <c r="A30" s="2">
        <v>45380</v>
      </c>
      <c r="B30" s="1" t="s">
        <v>41</v>
      </c>
      <c r="C30" s="1" t="s">
        <v>12</v>
      </c>
      <c r="D30" s="1" t="s">
        <v>7</v>
      </c>
      <c r="E30" s="3">
        <v>49000</v>
      </c>
      <c r="F30" s="1" t="str">
        <f>IF(Table13[[#This Row],[Sales]]&gt;50000,"HIGH","NORMAL")</f>
        <v>NORMAL</v>
      </c>
    </row>
    <row r="31" spans="1:6" x14ac:dyDescent="0.3">
      <c r="A31" s="2">
        <v>45381</v>
      </c>
      <c r="B31" s="1" t="s">
        <v>42</v>
      </c>
      <c r="C31" s="1" t="s">
        <v>15</v>
      </c>
      <c r="D31" s="1" t="s">
        <v>17</v>
      </c>
      <c r="E31" s="3">
        <v>44000</v>
      </c>
      <c r="F31" s="1" t="str">
        <f>IF(Table13[[#This Row],[Sales]]&gt;50000,"HIGH","NORMAL")</f>
        <v>NORMAL</v>
      </c>
    </row>
    <row r="32" spans="1:6" x14ac:dyDescent="0.3">
      <c r="A32" s="2">
        <v>45382</v>
      </c>
      <c r="B32" s="1" t="s">
        <v>43</v>
      </c>
      <c r="C32" s="1" t="s">
        <v>6</v>
      </c>
      <c r="D32" s="1" t="s">
        <v>10</v>
      </c>
      <c r="E32" s="3">
        <v>38000</v>
      </c>
      <c r="F32" s="1" t="str">
        <f>IF(Table13[[#This Row],[Sales]]&gt;50000,"HIGH","NORMAL")</f>
        <v>NORMAL</v>
      </c>
    </row>
    <row r="33" spans="1:6" x14ac:dyDescent="0.3">
      <c r="A33" s="2">
        <v>45383</v>
      </c>
      <c r="B33" s="1" t="s">
        <v>44</v>
      </c>
      <c r="C33" s="1" t="s">
        <v>9</v>
      </c>
      <c r="D33" s="1" t="s">
        <v>13</v>
      </c>
      <c r="E33" s="3">
        <v>52000</v>
      </c>
      <c r="F33" s="1" t="str">
        <f>IF(Table13[[#This Row],[Sales]]&gt;50000,"HIGH","NORMAL")</f>
        <v>HIGH</v>
      </c>
    </row>
    <row r="34" spans="1:6" x14ac:dyDescent="0.3">
      <c r="A34" s="2">
        <v>45384</v>
      </c>
      <c r="B34" s="1" t="s">
        <v>45</v>
      </c>
      <c r="C34" s="1" t="s">
        <v>15</v>
      </c>
      <c r="D34" s="1" t="s">
        <v>7</v>
      </c>
      <c r="E34" s="3">
        <v>31000</v>
      </c>
      <c r="F34" s="1" t="str">
        <f>IF(Table13[[#This Row],[Sales]]&gt;50000,"HIGH","NORMAL")</f>
        <v>NORMAL</v>
      </c>
    </row>
    <row r="35" spans="1:6" x14ac:dyDescent="0.3">
      <c r="A35" s="2">
        <v>45385</v>
      </c>
      <c r="B35" s="1" t="s">
        <v>46</v>
      </c>
      <c r="C35" s="1" t="s">
        <v>12</v>
      </c>
      <c r="D35" s="1" t="s">
        <v>17</v>
      </c>
      <c r="E35" s="3">
        <v>57000</v>
      </c>
      <c r="F35" s="1" t="str">
        <f>IF(Table13[[#This Row],[Sales]]&gt;50000,"HIGH","NORMAL")</f>
        <v>HIGH</v>
      </c>
    </row>
    <row r="36" spans="1:6" x14ac:dyDescent="0.3">
      <c r="A36" s="2">
        <v>45386</v>
      </c>
      <c r="B36" s="1" t="s">
        <v>47</v>
      </c>
      <c r="C36" s="1" t="s">
        <v>9</v>
      </c>
      <c r="D36" s="1" t="s">
        <v>10</v>
      </c>
      <c r="E36" s="3">
        <v>29500</v>
      </c>
      <c r="F36" s="1" t="str">
        <f>IF(Table13[[#This Row],[Sales]]&gt;50000,"HIGH","NORMAL")</f>
        <v>NORMAL</v>
      </c>
    </row>
    <row r="37" spans="1:6" x14ac:dyDescent="0.3">
      <c r="A37" s="2">
        <v>45387</v>
      </c>
      <c r="B37" s="1" t="s">
        <v>48</v>
      </c>
      <c r="C37" s="1" t="s">
        <v>6</v>
      </c>
      <c r="D37" s="1" t="s">
        <v>13</v>
      </c>
      <c r="E37" s="3">
        <v>46500</v>
      </c>
      <c r="F37" s="1" t="str">
        <f>IF(Table13[[#This Row],[Sales]]&gt;50000,"HIGH","NORMAL")</f>
        <v>NORMAL</v>
      </c>
    </row>
    <row r="38" spans="1:6" x14ac:dyDescent="0.3">
      <c r="A38" s="2">
        <v>45388</v>
      </c>
      <c r="B38" s="1" t="s">
        <v>49</v>
      </c>
      <c r="C38" s="1" t="s">
        <v>15</v>
      </c>
      <c r="D38" s="1" t="s">
        <v>7</v>
      </c>
      <c r="E38" s="3">
        <v>61000</v>
      </c>
      <c r="F38" s="1" t="str">
        <f>IF(Table13[[#This Row],[Sales]]&gt;50000,"HIGH","NORMAL")</f>
        <v>HIGH</v>
      </c>
    </row>
    <row r="39" spans="1:6" x14ac:dyDescent="0.3">
      <c r="A39" s="2">
        <v>45389</v>
      </c>
      <c r="B39" s="1" t="s">
        <v>50</v>
      </c>
      <c r="C39" s="1" t="s">
        <v>9</v>
      </c>
      <c r="D39" s="1" t="s">
        <v>17</v>
      </c>
      <c r="E39" s="3">
        <v>35500</v>
      </c>
      <c r="F39" s="1" t="str">
        <f>IF(Table13[[#This Row],[Sales]]&gt;50000,"HIGH","NORMAL")</f>
        <v>NORMAL</v>
      </c>
    </row>
    <row r="40" spans="1:6" x14ac:dyDescent="0.3">
      <c r="A40" s="2">
        <v>45390</v>
      </c>
      <c r="B40" s="1" t="s">
        <v>51</v>
      </c>
      <c r="C40" s="1" t="s">
        <v>12</v>
      </c>
      <c r="D40" s="1" t="s">
        <v>10</v>
      </c>
      <c r="E40" s="3">
        <v>27500</v>
      </c>
      <c r="F40" s="1" t="str">
        <f>IF(Table13[[#This Row],[Sales]]&gt;50000,"HIGH","NORMAL")</f>
        <v>NORMAL</v>
      </c>
    </row>
    <row r="41" spans="1:6" x14ac:dyDescent="0.3">
      <c r="A41" s="2">
        <v>45391</v>
      </c>
      <c r="B41" s="1" t="s">
        <v>52</v>
      </c>
      <c r="C41" s="1" t="s">
        <v>15</v>
      </c>
      <c r="D41" s="1" t="s">
        <v>13</v>
      </c>
      <c r="E41" s="3">
        <v>33500</v>
      </c>
      <c r="F41" s="1" t="str">
        <f>IF(Table13[[#This Row],[Sales]]&gt;50000,"HIGH","NORMAL")</f>
        <v>NORMAL</v>
      </c>
    </row>
    <row r="42" spans="1:6" x14ac:dyDescent="0.3">
      <c r="A42" s="2">
        <v>45392</v>
      </c>
      <c r="B42" s="1" t="s">
        <v>53</v>
      </c>
      <c r="C42" s="1" t="s">
        <v>6</v>
      </c>
      <c r="D42" s="1" t="s">
        <v>7</v>
      </c>
      <c r="E42" s="3">
        <v>68000</v>
      </c>
      <c r="F42" s="1" t="str">
        <f>IF(Table13[[#This Row],[Sales]]&gt;50000,"HIGH","NORMAL")</f>
        <v>HIGH</v>
      </c>
    </row>
    <row r="43" spans="1:6" x14ac:dyDescent="0.3">
      <c r="A43" s="2">
        <v>45393</v>
      </c>
      <c r="B43" s="1" t="s">
        <v>54</v>
      </c>
      <c r="C43" s="1" t="s">
        <v>9</v>
      </c>
      <c r="D43" s="1" t="s">
        <v>17</v>
      </c>
      <c r="E43" s="3">
        <v>43000</v>
      </c>
      <c r="F43" s="1" t="str">
        <f>IF(Table13[[#This Row],[Sales]]&gt;50000,"HIGH","NORMAL")</f>
        <v>NORMAL</v>
      </c>
    </row>
    <row r="44" spans="1:6" x14ac:dyDescent="0.3">
      <c r="A44" s="2">
        <v>45394</v>
      </c>
      <c r="B44" s="1" t="s">
        <v>55</v>
      </c>
      <c r="C44" s="1" t="s">
        <v>15</v>
      </c>
      <c r="D44" s="1" t="s">
        <v>10</v>
      </c>
      <c r="E44" s="3">
        <v>31500</v>
      </c>
      <c r="F44" s="1" t="str">
        <f>IF(Table13[[#This Row],[Sales]]&gt;50000,"HIGH","NORMAL")</f>
        <v>NORMAL</v>
      </c>
    </row>
    <row r="45" spans="1:6" x14ac:dyDescent="0.3">
      <c r="A45" s="2">
        <v>45395</v>
      </c>
      <c r="B45" s="1" t="s">
        <v>56</v>
      </c>
      <c r="C45" s="1" t="s">
        <v>12</v>
      </c>
      <c r="D45" s="1" t="s">
        <v>13</v>
      </c>
      <c r="E45" s="3">
        <v>25500</v>
      </c>
      <c r="F45" s="1" t="str">
        <f>IF(Table13[[#This Row],[Sales]]&gt;50000,"HIGH","NORMAL")</f>
        <v>NORMAL</v>
      </c>
    </row>
    <row r="46" spans="1:6" x14ac:dyDescent="0.3">
      <c r="A46" s="2">
        <v>45396</v>
      </c>
      <c r="B46" s="1" t="s">
        <v>57</v>
      </c>
      <c r="C46" s="1" t="s">
        <v>9</v>
      </c>
      <c r="D46" s="1" t="s">
        <v>7</v>
      </c>
      <c r="E46" s="3">
        <v>60000</v>
      </c>
      <c r="F46" s="1" t="str">
        <f>IF(Table13[[#This Row],[Sales]]&gt;50000,"HIGH","NORMAL")</f>
        <v>HIGH</v>
      </c>
    </row>
    <row r="47" spans="1:6" x14ac:dyDescent="0.3">
      <c r="A47" s="2">
        <v>45397</v>
      </c>
      <c r="B47" s="1" t="s">
        <v>58</v>
      </c>
      <c r="C47" s="1" t="s">
        <v>6</v>
      </c>
      <c r="D47" s="1" t="s">
        <v>17</v>
      </c>
      <c r="E47" s="3">
        <v>47000</v>
      </c>
      <c r="F47" s="1" t="str">
        <f>IF(Table13[[#This Row],[Sales]]&gt;50000,"HIGH","NORMAL")</f>
        <v>NORMAL</v>
      </c>
    </row>
    <row r="48" spans="1:6" x14ac:dyDescent="0.3">
      <c r="A48" s="2">
        <v>45398</v>
      </c>
      <c r="B48" s="1" t="s">
        <v>59</v>
      </c>
      <c r="C48" s="1" t="s">
        <v>15</v>
      </c>
      <c r="D48" s="1" t="s">
        <v>10</v>
      </c>
      <c r="E48" s="3">
        <v>36000</v>
      </c>
      <c r="F48" s="1" t="str">
        <f>IF(Table13[[#This Row],[Sales]]&gt;50000,"HIGH","NORMAL")</f>
        <v>NORMAL</v>
      </c>
    </row>
    <row r="49" spans="1:6" x14ac:dyDescent="0.3">
      <c r="A49" s="2">
        <v>45399</v>
      </c>
      <c r="B49" s="1" t="s">
        <v>60</v>
      </c>
      <c r="C49" s="1" t="s">
        <v>12</v>
      </c>
      <c r="D49" s="1" t="s">
        <v>13</v>
      </c>
      <c r="E49" s="3">
        <v>41000</v>
      </c>
      <c r="F49" s="1" t="str">
        <f>IF(Table13[[#This Row],[Sales]]&gt;50000,"HIGH","NORMAL")</f>
        <v>NORMAL</v>
      </c>
    </row>
    <row r="50" spans="1:6" x14ac:dyDescent="0.3">
      <c r="A50" s="2">
        <v>45400</v>
      </c>
      <c r="B50" s="1" t="s">
        <v>61</v>
      </c>
      <c r="C50" s="1" t="s">
        <v>6</v>
      </c>
      <c r="D50" s="1" t="s">
        <v>7</v>
      </c>
      <c r="E50" s="3">
        <v>53000</v>
      </c>
      <c r="F50" s="1" t="str">
        <f>IF(Table13[[#This Row],[Sales]]&gt;50000,"HIGH","NORMAL")</f>
        <v>HIGH</v>
      </c>
    </row>
    <row r="51" spans="1:6" x14ac:dyDescent="0.3">
      <c r="A51" s="7">
        <v>45401</v>
      </c>
      <c r="B51" s="8" t="s">
        <v>62</v>
      </c>
      <c r="C51" s="8" t="s">
        <v>9</v>
      </c>
      <c r="D51" s="8" t="s">
        <v>17</v>
      </c>
      <c r="E51" s="9">
        <v>39000</v>
      </c>
      <c r="F51" s="8" t="str">
        <f>IF(Table13[[#This Row],[Sales]]&gt;50000,"HIGH","NORMAL")</f>
        <v>NORMAL</v>
      </c>
    </row>
  </sheetData>
  <mergeCells count="1">
    <mergeCell ref="H10:J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3448-5D9E-4F51-9B4E-AF6FCC6AEBA9}">
  <sheetPr>
    <tabColor rgb="FF00B050"/>
  </sheetPr>
  <dimension ref="A1:K51"/>
  <sheetViews>
    <sheetView workbookViewId="0">
      <selection activeCell="L21" sqref="L21"/>
    </sheetView>
  </sheetViews>
  <sheetFormatPr defaultRowHeight="14.4" x14ac:dyDescent="0.3"/>
  <cols>
    <col min="1" max="1" width="9.6640625" bestFit="1" customWidth="1"/>
    <col min="2" max="2" width="13.44140625" bestFit="1" customWidth="1"/>
    <col min="3" max="3" width="11.21875" bestFit="1" customWidth="1"/>
    <col min="4" max="4" width="15.5546875" bestFit="1" customWidth="1"/>
    <col min="5" max="5" width="9.6640625" bestFit="1" customWidth="1"/>
  </cols>
  <sheetData>
    <row r="1" spans="1:1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1" x14ac:dyDescent="0.3">
      <c r="A2" s="2">
        <v>45352</v>
      </c>
      <c r="B2" s="1" t="s">
        <v>5</v>
      </c>
      <c r="C2" s="1" t="s">
        <v>6</v>
      </c>
      <c r="D2" s="1" t="s">
        <v>7</v>
      </c>
      <c r="E2" s="3">
        <v>55000</v>
      </c>
      <c r="I2" s="18" t="s">
        <v>70</v>
      </c>
      <c r="J2" s="18"/>
      <c r="K2" s="18"/>
    </row>
    <row r="3" spans="1:11" x14ac:dyDescent="0.3">
      <c r="A3" s="2">
        <v>45353</v>
      </c>
      <c r="B3" s="1" t="s">
        <v>8</v>
      </c>
      <c r="C3" s="1" t="s">
        <v>9</v>
      </c>
      <c r="D3" s="1" t="s">
        <v>10</v>
      </c>
      <c r="E3" s="3">
        <v>32000</v>
      </c>
      <c r="I3" s="18" t="s">
        <v>71</v>
      </c>
      <c r="J3" s="18"/>
      <c r="K3" s="18"/>
    </row>
    <row r="4" spans="1:11" x14ac:dyDescent="0.3">
      <c r="A4" s="2">
        <v>45354</v>
      </c>
      <c r="B4" s="1" t="s">
        <v>11</v>
      </c>
      <c r="C4" s="1" t="s">
        <v>12</v>
      </c>
      <c r="D4" s="1" t="s">
        <v>13</v>
      </c>
      <c r="E4" s="3">
        <v>28000</v>
      </c>
    </row>
    <row r="5" spans="1:11" x14ac:dyDescent="0.3">
      <c r="A5" s="2">
        <v>45355</v>
      </c>
      <c r="B5" s="1" t="s">
        <v>14</v>
      </c>
      <c r="C5" s="1" t="s">
        <v>15</v>
      </c>
      <c r="D5" s="1" t="s">
        <v>7</v>
      </c>
      <c r="E5" s="3">
        <v>52000</v>
      </c>
    </row>
    <row r="6" spans="1:11" x14ac:dyDescent="0.3">
      <c r="A6" s="2">
        <v>45356</v>
      </c>
      <c r="B6" s="1" t="s">
        <v>16</v>
      </c>
      <c r="C6" s="1" t="s">
        <v>6</v>
      </c>
      <c r="D6" s="1" t="s">
        <v>17</v>
      </c>
      <c r="E6" s="3">
        <v>61000</v>
      </c>
    </row>
    <row r="7" spans="1:11" x14ac:dyDescent="0.3">
      <c r="A7" s="2">
        <v>45357</v>
      </c>
      <c r="B7" s="1" t="s">
        <v>18</v>
      </c>
      <c r="C7" s="1" t="s">
        <v>9</v>
      </c>
      <c r="D7" s="1" t="s">
        <v>10</v>
      </c>
      <c r="E7" s="3">
        <v>39000</v>
      </c>
    </row>
    <row r="8" spans="1:11" x14ac:dyDescent="0.3">
      <c r="A8" s="2">
        <v>45358</v>
      </c>
      <c r="B8" s="1" t="s">
        <v>19</v>
      </c>
      <c r="C8" s="1" t="s">
        <v>15</v>
      </c>
      <c r="D8" s="1" t="s">
        <v>13</v>
      </c>
      <c r="E8" s="3">
        <v>47000</v>
      </c>
    </row>
    <row r="9" spans="1:11" x14ac:dyDescent="0.3">
      <c r="A9" s="2">
        <v>45359</v>
      </c>
      <c r="B9" s="1" t="s">
        <v>20</v>
      </c>
      <c r="C9" s="1" t="s">
        <v>12</v>
      </c>
      <c r="D9" s="1" t="s">
        <v>7</v>
      </c>
      <c r="E9" s="3">
        <v>55000</v>
      </c>
    </row>
    <row r="10" spans="1:11" x14ac:dyDescent="0.3">
      <c r="A10" s="2">
        <v>45360</v>
      </c>
      <c r="B10" s="1" t="s">
        <v>21</v>
      </c>
      <c r="C10" s="1" t="s">
        <v>6</v>
      </c>
      <c r="D10" s="1" t="s">
        <v>17</v>
      </c>
      <c r="E10" s="3">
        <v>26000</v>
      </c>
    </row>
    <row r="11" spans="1:11" x14ac:dyDescent="0.3">
      <c r="A11" s="2">
        <v>45361</v>
      </c>
      <c r="B11" s="1" t="s">
        <v>22</v>
      </c>
      <c r="C11" s="1" t="s">
        <v>15</v>
      </c>
      <c r="D11" s="1" t="s">
        <v>10</v>
      </c>
      <c r="E11" s="3">
        <v>31000</v>
      </c>
    </row>
    <row r="12" spans="1:11" x14ac:dyDescent="0.3">
      <c r="A12" s="2">
        <v>45362</v>
      </c>
      <c r="B12" s="1" t="s">
        <v>23</v>
      </c>
      <c r="C12" s="1" t="s">
        <v>9</v>
      </c>
      <c r="D12" s="1" t="s">
        <v>7</v>
      </c>
      <c r="E12" s="3">
        <v>48000</v>
      </c>
    </row>
    <row r="13" spans="1:11" x14ac:dyDescent="0.3">
      <c r="A13" s="2">
        <v>45363</v>
      </c>
      <c r="B13" s="1" t="s">
        <v>24</v>
      </c>
      <c r="C13" s="1" t="s">
        <v>12</v>
      </c>
      <c r="D13" s="1" t="s">
        <v>13</v>
      </c>
      <c r="E13" s="3">
        <v>34000</v>
      </c>
    </row>
    <row r="14" spans="1:11" x14ac:dyDescent="0.3">
      <c r="A14" s="2">
        <v>45364</v>
      </c>
      <c r="B14" s="1" t="s">
        <v>25</v>
      </c>
      <c r="C14" s="1" t="s">
        <v>15</v>
      </c>
      <c r="D14" s="1" t="s">
        <v>17</v>
      </c>
      <c r="E14" s="3">
        <v>42000</v>
      </c>
    </row>
    <row r="15" spans="1:11" x14ac:dyDescent="0.3">
      <c r="A15" s="2">
        <v>45365</v>
      </c>
      <c r="B15" s="1" t="s">
        <v>26</v>
      </c>
      <c r="C15" s="1" t="s">
        <v>6</v>
      </c>
      <c r="D15" s="1" t="s">
        <v>7</v>
      </c>
      <c r="E15" s="3">
        <v>70000</v>
      </c>
    </row>
    <row r="16" spans="1:11" x14ac:dyDescent="0.3">
      <c r="A16" s="2">
        <v>45366</v>
      </c>
      <c r="B16" s="1" t="s">
        <v>27</v>
      </c>
      <c r="C16" s="1" t="s">
        <v>12</v>
      </c>
      <c r="D16" s="1" t="s">
        <v>10</v>
      </c>
      <c r="E16" s="3">
        <v>29000</v>
      </c>
    </row>
    <row r="17" spans="1:5" x14ac:dyDescent="0.3">
      <c r="A17" s="2">
        <v>45367</v>
      </c>
      <c r="B17" s="1" t="s">
        <v>28</v>
      </c>
      <c r="C17" s="1" t="s">
        <v>9</v>
      </c>
      <c r="D17" s="1" t="s">
        <v>13</v>
      </c>
      <c r="E17" s="3">
        <v>51000</v>
      </c>
    </row>
    <row r="18" spans="1:5" x14ac:dyDescent="0.3">
      <c r="A18" s="2">
        <v>45368</v>
      </c>
      <c r="B18" s="1" t="s">
        <v>29</v>
      </c>
      <c r="C18" s="1" t="s">
        <v>15</v>
      </c>
      <c r="D18" s="1" t="s">
        <v>17</v>
      </c>
      <c r="E18" s="3">
        <v>36000</v>
      </c>
    </row>
    <row r="19" spans="1:5" x14ac:dyDescent="0.3">
      <c r="A19" s="2">
        <v>45369</v>
      </c>
      <c r="B19" s="1" t="s">
        <v>30</v>
      </c>
      <c r="C19" s="1" t="s">
        <v>6</v>
      </c>
      <c r="D19" s="1" t="s">
        <v>7</v>
      </c>
      <c r="E19" s="3">
        <v>62000</v>
      </c>
    </row>
    <row r="20" spans="1:5" x14ac:dyDescent="0.3">
      <c r="A20" s="2">
        <v>45370</v>
      </c>
      <c r="B20" s="1" t="s">
        <v>31</v>
      </c>
      <c r="C20" s="1" t="s">
        <v>12</v>
      </c>
      <c r="D20" s="1" t="s">
        <v>10</v>
      </c>
      <c r="E20" s="3">
        <v>27000</v>
      </c>
    </row>
    <row r="21" spans="1:5" x14ac:dyDescent="0.3">
      <c r="A21" s="2">
        <v>45371</v>
      </c>
      <c r="B21" s="1" t="s">
        <v>32</v>
      </c>
      <c r="C21" s="1" t="s">
        <v>15</v>
      </c>
      <c r="D21" s="1" t="s">
        <v>13</v>
      </c>
      <c r="E21" s="3">
        <v>33000</v>
      </c>
    </row>
    <row r="22" spans="1:5" x14ac:dyDescent="0.3">
      <c r="A22" s="2">
        <v>45372</v>
      </c>
      <c r="B22" s="1" t="s">
        <v>33</v>
      </c>
      <c r="C22" s="1" t="s">
        <v>9</v>
      </c>
      <c r="D22" s="1" t="s">
        <v>7</v>
      </c>
      <c r="E22" s="3">
        <v>54000</v>
      </c>
    </row>
    <row r="23" spans="1:5" x14ac:dyDescent="0.3">
      <c r="A23" s="2">
        <v>45373</v>
      </c>
      <c r="B23" s="1" t="s">
        <v>34</v>
      </c>
      <c r="C23" s="1" t="s">
        <v>6</v>
      </c>
      <c r="D23" s="1" t="s">
        <v>17</v>
      </c>
      <c r="E23" s="3">
        <v>46000</v>
      </c>
    </row>
    <row r="24" spans="1:5" x14ac:dyDescent="0.3">
      <c r="A24" s="2">
        <v>45374</v>
      </c>
      <c r="B24" s="1" t="s">
        <v>35</v>
      </c>
      <c r="C24" s="1" t="s">
        <v>15</v>
      </c>
      <c r="D24" s="1" t="s">
        <v>10</v>
      </c>
      <c r="E24" s="3">
        <v>30000</v>
      </c>
    </row>
    <row r="25" spans="1:5" x14ac:dyDescent="0.3">
      <c r="A25" s="2">
        <v>45375</v>
      </c>
      <c r="B25" s="1" t="s">
        <v>36</v>
      </c>
      <c r="C25" s="1" t="s">
        <v>12</v>
      </c>
      <c r="D25" s="1" t="s">
        <v>13</v>
      </c>
      <c r="E25" s="3">
        <v>37000</v>
      </c>
    </row>
    <row r="26" spans="1:5" x14ac:dyDescent="0.3">
      <c r="A26" s="2">
        <v>45376</v>
      </c>
      <c r="B26" s="1" t="s">
        <v>37</v>
      </c>
      <c r="C26" s="1" t="s">
        <v>9</v>
      </c>
      <c r="D26" s="1" t="s">
        <v>7</v>
      </c>
      <c r="E26" s="3">
        <v>58000</v>
      </c>
    </row>
    <row r="27" spans="1:5" x14ac:dyDescent="0.3">
      <c r="A27" s="2">
        <v>45377</v>
      </c>
      <c r="B27" s="1" t="s">
        <v>38</v>
      </c>
      <c r="C27" s="1" t="s">
        <v>15</v>
      </c>
      <c r="D27" s="1" t="s">
        <v>17</v>
      </c>
      <c r="E27" s="3">
        <v>41000</v>
      </c>
    </row>
    <row r="28" spans="1:5" x14ac:dyDescent="0.3">
      <c r="A28" s="2">
        <v>45378</v>
      </c>
      <c r="B28" s="1" t="s">
        <v>39</v>
      </c>
      <c r="C28" s="1" t="s">
        <v>6</v>
      </c>
      <c r="D28" s="1" t="s">
        <v>10</v>
      </c>
      <c r="E28" s="3">
        <v>35000</v>
      </c>
    </row>
    <row r="29" spans="1:5" x14ac:dyDescent="0.3">
      <c r="A29" s="2">
        <v>45379</v>
      </c>
      <c r="B29" s="1" t="s">
        <v>40</v>
      </c>
      <c r="C29" s="1" t="s">
        <v>9</v>
      </c>
      <c r="D29" s="1" t="s">
        <v>13</v>
      </c>
      <c r="E29" s="3">
        <v>26000</v>
      </c>
    </row>
    <row r="30" spans="1:5" x14ac:dyDescent="0.3">
      <c r="A30" s="2">
        <v>45380</v>
      </c>
      <c r="B30" s="1" t="s">
        <v>41</v>
      </c>
      <c r="C30" s="1" t="s">
        <v>12</v>
      </c>
      <c r="D30" s="1" t="s">
        <v>7</v>
      </c>
      <c r="E30" s="3">
        <v>49000</v>
      </c>
    </row>
    <row r="31" spans="1:5" x14ac:dyDescent="0.3">
      <c r="A31" s="2">
        <v>45381</v>
      </c>
      <c r="B31" s="1" t="s">
        <v>42</v>
      </c>
      <c r="C31" s="1" t="s">
        <v>15</v>
      </c>
      <c r="D31" s="1" t="s">
        <v>17</v>
      </c>
      <c r="E31" s="3">
        <v>44000</v>
      </c>
    </row>
    <row r="32" spans="1:5" x14ac:dyDescent="0.3">
      <c r="A32" s="2">
        <v>45382</v>
      </c>
      <c r="B32" s="1" t="s">
        <v>43</v>
      </c>
      <c r="C32" s="1" t="s">
        <v>6</v>
      </c>
      <c r="D32" s="1" t="s">
        <v>10</v>
      </c>
      <c r="E32" s="3">
        <v>38000</v>
      </c>
    </row>
    <row r="33" spans="1:5" x14ac:dyDescent="0.3">
      <c r="A33" s="2">
        <v>45383</v>
      </c>
      <c r="B33" s="1" t="s">
        <v>44</v>
      </c>
      <c r="C33" s="1" t="s">
        <v>9</v>
      </c>
      <c r="D33" s="1" t="s">
        <v>13</v>
      </c>
      <c r="E33" s="3">
        <v>52000</v>
      </c>
    </row>
    <row r="34" spans="1:5" x14ac:dyDescent="0.3">
      <c r="A34" s="2">
        <v>45384</v>
      </c>
      <c r="B34" s="1" t="s">
        <v>45</v>
      </c>
      <c r="C34" s="1" t="s">
        <v>15</v>
      </c>
      <c r="D34" s="1" t="s">
        <v>7</v>
      </c>
      <c r="E34" s="3">
        <v>31000</v>
      </c>
    </row>
    <row r="35" spans="1:5" x14ac:dyDescent="0.3">
      <c r="A35" s="2">
        <v>45385</v>
      </c>
      <c r="B35" s="1" t="s">
        <v>46</v>
      </c>
      <c r="C35" s="1" t="s">
        <v>12</v>
      </c>
      <c r="D35" s="1" t="s">
        <v>17</v>
      </c>
      <c r="E35" s="3">
        <v>57000</v>
      </c>
    </row>
    <row r="36" spans="1:5" x14ac:dyDescent="0.3">
      <c r="A36" s="2">
        <v>45386</v>
      </c>
      <c r="B36" s="1" t="s">
        <v>47</v>
      </c>
      <c r="C36" s="1" t="s">
        <v>9</v>
      </c>
      <c r="D36" s="1" t="s">
        <v>10</v>
      </c>
      <c r="E36" s="3">
        <v>29500</v>
      </c>
    </row>
    <row r="37" spans="1:5" x14ac:dyDescent="0.3">
      <c r="A37" s="2">
        <v>45387</v>
      </c>
      <c r="B37" s="1" t="s">
        <v>48</v>
      </c>
      <c r="C37" s="1" t="s">
        <v>6</v>
      </c>
      <c r="D37" s="1" t="s">
        <v>13</v>
      </c>
      <c r="E37" s="3">
        <v>46500</v>
      </c>
    </row>
    <row r="38" spans="1:5" x14ac:dyDescent="0.3">
      <c r="A38" s="2">
        <v>45388</v>
      </c>
      <c r="B38" s="1" t="s">
        <v>49</v>
      </c>
      <c r="C38" s="1" t="s">
        <v>15</v>
      </c>
      <c r="D38" s="1" t="s">
        <v>7</v>
      </c>
      <c r="E38" s="3">
        <v>61000</v>
      </c>
    </row>
    <row r="39" spans="1:5" x14ac:dyDescent="0.3">
      <c r="A39" s="2">
        <v>45389</v>
      </c>
      <c r="B39" s="1" t="s">
        <v>50</v>
      </c>
      <c r="C39" s="1" t="s">
        <v>9</v>
      </c>
      <c r="D39" s="1" t="s">
        <v>17</v>
      </c>
      <c r="E39" s="3">
        <v>35500</v>
      </c>
    </row>
    <row r="40" spans="1:5" x14ac:dyDescent="0.3">
      <c r="A40" s="2">
        <v>45390</v>
      </c>
      <c r="B40" s="1" t="s">
        <v>51</v>
      </c>
      <c r="C40" s="1" t="s">
        <v>12</v>
      </c>
      <c r="D40" s="1" t="s">
        <v>10</v>
      </c>
      <c r="E40" s="3">
        <v>27500</v>
      </c>
    </row>
    <row r="41" spans="1:5" x14ac:dyDescent="0.3">
      <c r="A41" s="2">
        <v>45391</v>
      </c>
      <c r="B41" s="1" t="s">
        <v>52</v>
      </c>
      <c r="C41" s="1" t="s">
        <v>15</v>
      </c>
      <c r="D41" s="1" t="s">
        <v>13</v>
      </c>
      <c r="E41" s="3">
        <v>33500</v>
      </c>
    </row>
    <row r="42" spans="1:5" x14ac:dyDescent="0.3">
      <c r="A42" s="2">
        <v>45392</v>
      </c>
      <c r="B42" s="1" t="s">
        <v>53</v>
      </c>
      <c r="C42" s="1" t="s">
        <v>6</v>
      </c>
      <c r="D42" s="1" t="s">
        <v>7</v>
      </c>
      <c r="E42" s="3">
        <v>68000</v>
      </c>
    </row>
    <row r="43" spans="1:5" x14ac:dyDescent="0.3">
      <c r="A43" s="2">
        <v>45393</v>
      </c>
      <c r="B43" s="1" t="s">
        <v>54</v>
      </c>
      <c r="C43" s="1" t="s">
        <v>9</v>
      </c>
      <c r="D43" s="1" t="s">
        <v>17</v>
      </c>
      <c r="E43" s="3">
        <v>43000</v>
      </c>
    </row>
    <row r="44" spans="1:5" x14ac:dyDescent="0.3">
      <c r="A44" s="2">
        <v>45394</v>
      </c>
      <c r="B44" s="1" t="s">
        <v>55</v>
      </c>
      <c r="C44" s="1" t="s">
        <v>15</v>
      </c>
      <c r="D44" s="1" t="s">
        <v>10</v>
      </c>
      <c r="E44" s="3">
        <v>31500</v>
      </c>
    </row>
    <row r="45" spans="1:5" x14ac:dyDescent="0.3">
      <c r="A45" s="2">
        <v>45395</v>
      </c>
      <c r="B45" s="1" t="s">
        <v>56</v>
      </c>
      <c r="C45" s="1" t="s">
        <v>12</v>
      </c>
      <c r="D45" s="1" t="s">
        <v>13</v>
      </c>
      <c r="E45" s="3">
        <v>25500</v>
      </c>
    </row>
    <row r="46" spans="1:5" x14ac:dyDescent="0.3">
      <c r="A46" s="2">
        <v>45396</v>
      </c>
      <c r="B46" s="1" t="s">
        <v>57</v>
      </c>
      <c r="C46" s="1" t="s">
        <v>9</v>
      </c>
      <c r="D46" s="1" t="s">
        <v>7</v>
      </c>
      <c r="E46" s="3">
        <v>60000</v>
      </c>
    </row>
    <row r="47" spans="1:5" x14ac:dyDescent="0.3">
      <c r="A47" s="2">
        <v>45397</v>
      </c>
      <c r="B47" s="1" t="s">
        <v>58</v>
      </c>
      <c r="C47" s="1" t="s">
        <v>6</v>
      </c>
      <c r="D47" s="1" t="s">
        <v>17</v>
      </c>
      <c r="E47" s="3">
        <v>47000</v>
      </c>
    </row>
    <row r="48" spans="1:5" x14ac:dyDescent="0.3">
      <c r="A48" s="2">
        <v>45398</v>
      </c>
      <c r="B48" s="1" t="s">
        <v>59</v>
      </c>
      <c r="C48" s="1" t="s">
        <v>15</v>
      </c>
      <c r="D48" s="1" t="s">
        <v>10</v>
      </c>
      <c r="E48" s="3">
        <v>36000</v>
      </c>
    </row>
    <row r="49" spans="1:5" x14ac:dyDescent="0.3">
      <c r="A49" s="2">
        <v>45399</v>
      </c>
      <c r="B49" s="1" t="s">
        <v>60</v>
      </c>
      <c r="C49" s="1" t="s">
        <v>12</v>
      </c>
      <c r="D49" s="1" t="s">
        <v>13</v>
      </c>
      <c r="E49" s="3">
        <v>41000</v>
      </c>
    </row>
    <row r="50" spans="1:5" x14ac:dyDescent="0.3">
      <c r="A50" s="2">
        <v>45400</v>
      </c>
      <c r="B50" s="1" t="s">
        <v>61</v>
      </c>
      <c r="C50" s="1" t="s">
        <v>6</v>
      </c>
      <c r="D50" s="1" t="s">
        <v>7</v>
      </c>
      <c r="E50" s="3">
        <v>53000</v>
      </c>
    </row>
    <row r="51" spans="1:5" x14ac:dyDescent="0.3">
      <c r="A51" s="7">
        <v>45401</v>
      </c>
      <c r="B51" s="8" t="s">
        <v>62</v>
      </c>
      <c r="C51" s="8" t="s">
        <v>9</v>
      </c>
      <c r="D51" s="8" t="s">
        <v>17</v>
      </c>
      <c r="E51" s="9">
        <v>39000</v>
      </c>
    </row>
  </sheetData>
  <mergeCells count="2">
    <mergeCell ref="I2:K2"/>
    <mergeCell ref="I3:K3"/>
  </mergeCells>
  <conditionalFormatting sqref="E2:E51">
    <cfRule type="cellIs" dxfId="7" priority="1" operator="lessThan">
      <formula>30000</formula>
    </cfRule>
    <cfRule type="cellIs" dxfId="6" priority="2" operator="greaterThan">
      <formula>60000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2026-03-18T16:05:41Z</dcterms:created>
  <dcterms:modified xsi:type="dcterms:W3CDTF">2026-03-20T12:40:47Z</dcterms:modified>
</cp:coreProperties>
</file>