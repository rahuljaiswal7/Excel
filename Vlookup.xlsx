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 Kumar Jaiswal\Desktop\Excel\"/>
    </mc:Choice>
  </mc:AlternateContent>
  <xr:revisionPtr revIDLastSave="0" documentId="13_ncr:1_{3E4AAC46-2011-40E5-8903-77F01D0D633E}" xr6:coauthVersionLast="47" xr6:coauthVersionMax="47" xr10:uidLastSave="{00000000-0000-0000-0000-000000000000}"/>
  <bookViews>
    <workbookView xWindow="-108" yWindow="-108" windowWidth="23256" windowHeight="12456" activeTab="3" xr2:uid="{499F09F3-8D34-42F6-ADF6-F183B931404F}"/>
  </bookViews>
  <sheets>
    <sheet name="Question1" sheetId="4" r:id="rId1"/>
    <sheet name="solution1" sheetId="1" r:id="rId2"/>
    <sheet name="Question2" sheetId="3" r:id="rId3"/>
    <sheet name="solution2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2" l="1"/>
  <c r="J22" i="2"/>
  <c r="E3" i="2" a="1"/>
  <c r="E3" i="2" s="1"/>
  <c r="F3" i="2" s="1"/>
  <c r="G3" i="2" s="1"/>
  <c r="E4" i="2" a="1"/>
  <c r="E4" i="2" s="1"/>
  <c r="F4" i="2" s="1"/>
  <c r="G4" i="2" s="1"/>
  <c r="E5" i="2" a="1"/>
  <c r="E5" i="2" s="1"/>
  <c r="F5" i="2" s="1"/>
  <c r="G5" i="2" s="1"/>
  <c r="E6" i="2" a="1"/>
  <c r="E6" i="2" s="1"/>
  <c r="F6" i="2" s="1"/>
  <c r="G6" i="2" s="1"/>
  <c r="E7" i="2" a="1"/>
  <c r="E7" i="2" s="1"/>
  <c r="F7" i="2" s="1"/>
  <c r="G7" i="2" s="1"/>
  <c r="E8" i="2" a="1"/>
  <c r="E8" i="2" s="1"/>
  <c r="F8" i="2" s="1"/>
  <c r="G8" i="2" s="1"/>
  <c r="E9" i="2" a="1"/>
  <c r="E9" i="2" s="1"/>
  <c r="F9" i="2" s="1"/>
  <c r="G9" i="2" s="1"/>
  <c r="E10" i="2" a="1"/>
  <c r="E10" i="2" s="1"/>
  <c r="F10" i="2" s="1"/>
  <c r="G10" i="2" s="1"/>
  <c r="E11" i="2" a="1"/>
  <c r="E11" i="2" s="1"/>
  <c r="F11" i="2" s="1"/>
  <c r="G11" i="2" s="1"/>
  <c r="E12" i="2" a="1"/>
  <c r="E12" i="2" s="1"/>
  <c r="F12" i="2" s="1"/>
  <c r="G12" i="2" s="1"/>
  <c r="E13" i="2" a="1"/>
  <c r="E13" i="2" s="1"/>
  <c r="F13" i="2" s="1"/>
  <c r="G13" i="2" s="1"/>
  <c r="E14" i="2" a="1"/>
  <c r="E14" i="2" s="1"/>
  <c r="F14" i="2" s="1"/>
  <c r="G14" i="2" s="1"/>
  <c r="E15" i="2" a="1"/>
  <c r="E15" i="2" s="1"/>
  <c r="F15" i="2" s="1"/>
  <c r="G15" i="2" s="1"/>
  <c r="E16" i="2" a="1"/>
  <c r="E16" i="2" s="1"/>
  <c r="F16" i="2" s="1"/>
  <c r="G16" i="2" s="1"/>
  <c r="E17" i="2" a="1"/>
  <c r="E17" i="2" s="1"/>
  <c r="F17" i="2" s="1"/>
  <c r="G17" i="2" s="1"/>
  <c r="E18" i="2" a="1"/>
  <c r="E18" i="2" s="1"/>
  <c r="F18" i="2" s="1"/>
  <c r="G18" i="2" s="1"/>
  <c r="E19" i="2" a="1"/>
  <c r="E19" i="2" s="1"/>
  <c r="F19" i="2" s="1"/>
  <c r="G19" i="2" s="1"/>
  <c r="E20" i="2" a="1"/>
  <c r="E20" i="2" s="1"/>
  <c r="F20" i="2" s="1"/>
  <c r="G20" i="2" s="1"/>
  <c r="E21" i="2" a="1"/>
  <c r="E21" i="2" s="1"/>
  <c r="F21" i="2" s="1"/>
  <c r="G21" i="2" s="1"/>
  <c r="E22" i="2" a="1"/>
  <c r="E22" i="2" s="1"/>
  <c r="F22" i="2" s="1"/>
  <c r="G22" i="2" s="1"/>
  <c r="E23" i="2" a="1"/>
  <c r="E23" i="2" s="1"/>
  <c r="F23" i="2" s="1"/>
  <c r="G23" i="2" s="1"/>
  <c r="E24" i="2" a="1"/>
  <c r="E24" i="2" s="1"/>
  <c r="F24" i="2" s="1"/>
  <c r="G24" i="2" s="1"/>
  <c r="E25" i="2" a="1"/>
  <c r="E25" i="2" s="1"/>
  <c r="F25" i="2" s="1"/>
  <c r="G25" i="2" s="1"/>
  <c r="E26" i="2" a="1"/>
  <c r="E26" i="2" s="1"/>
  <c r="F26" i="2" s="1"/>
  <c r="G26" i="2" s="1"/>
  <c r="E27" i="2" a="1"/>
  <c r="E27" i="2" s="1"/>
  <c r="F27" i="2" s="1"/>
  <c r="G27" i="2" s="1"/>
  <c r="E28" i="2" a="1"/>
  <c r="E28" i="2" s="1"/>
  <c r="F28" i="2" s="1"/>
  <c r="G28" i="2" s="1"/>
  <c r="E29" i="2" a="1"/>
  <c r="E29" i="2" s="1"/>
  <c r="F29" i="2" s="1"/>
  <c r="G29" i="2" s="1"/>
  <c r="E30" i="2" a="1"/>
  <c r="E30" i="2" s="1"/>
  <c r="F30" i="2" s="1"/>
  <c r="G30" i="2" s="1"/>
  <c r="E31" i="2" a="1"/>
  <c r="E31" i="2" s="1"/>
  <c r="F31" i="2" s="1"/>
  <c r="G31" i="2" s="1"/>
  <c r="E32" i="2" a="1"/>
  <c r="E32" i="2" s="1"/>
  <c r="F32" i="2" s="1"/>
  <c r="G32" i="2" s="1"/>
  <c r="E33" i="2" a="1"/>
  <c r="E33" i="2" s="1"/>
  <c r="F33" i="2" s="1"/>
  <c r="G33" i="2" s="1"/>
  <c r="E34" i="2" a="1"/>
  <c r="E34" i="2" s="1"/>
  <c r="F34" i="2" s="1"/>
  <c r="G34" i="2" s="1"/>
  <c r="E35" i="2" a="1"/>
  <c r="E35" i="2" s="1"/>
  <c r="F35" i="2" s="1"/>
  <c r="G35" i="2" s="1"/>
  <c r="E36" i="2" a="1"/>
  <c r="E36" i="2" s="1"/>
  <c r="F36" i="2" s="1"/>
  <c r="G36" i="2" s="1"/>
  <c r="E37" i="2" a="1"/>
  <c r="E37" i="2" s="1"/>
  <c r="F37" i="2" s="1"/>
  <c r="G37" i="2" s="1"/>
  <c r="E38" i="2" a="1"/>
  <c r="E38" i="2" s="1"/>
  <c r="F38" i="2" s="1"/>
  <c r="G38" i="2" s="1"/>
  <c r="E39" i="2" a="1"/>
  <c r="E39" i="2" s="1"/>
  <c r="F39" i="2" s="1"/>
  <c r="G39" i="2" s="1"/>
  <c r="E40" i="2" a="1"/>
  <c r="E40" i="2" s="1"/>
  <c r="F40" i="2" s="1"/>
  <c r="G40" i="2" s="1"/>
  <c r="E41" i="2" a="1"/>
  <c r="E41" i="2" s="1"/>
  <c r="F41" i="2" s="1"/>
  <c r="G41" i="2" s="1"/>
  <c r="E42" i="2" a="1"/>
  <c r="E42" i="2" s="1"/>
  <c r="F42" i="2" s="1"/>
  <c r="G42" i="2" s="1"/>
  <c r="E43" i="2" a="1"/>
  <c r="E43" i="2" s="1"/>
  <c r="F43" i="2" s="1"/>
  <c r="G43" i="2" s="1"/>
  <c r="E44" i="2" a="1"/>
  <c r="E44" i="2" s="1"/>
  <c r="F44" i="2" s="1"/>
  <c r="G44" i="2" s="1"/>
  <c r="E45" i="2" a="1"/>
  <c r="E45" i="2" s="1"/>
  <c r="F45" i="2" s="1"/>
  <c r="G45" i="2" s="1"/>
  <c r="E46" i="2" a="1"/>
  <c r="E46" i="2" s="1"/>
  <c r="F46" i="2" s="1"/>
  <c r="G46" i="2" s="1"/>
  <c r="E47" i="2" a="1"/>
  <c r="E47" i="2" s="1"/>
  <c r="F47" i="2" s="1"/>
  <c r="G47" i="2" s="1"/>
  <c r="E48" i="2" a="1"/>
  <c r="E48" i="2" s="1"/>
  <c r="F48" i="2" s="1"/>
  <c r="G48" i="2" s="1"/>
  <c r="E49" i="2" a="1"/>
  <c r="E49" i="2" s="1"/>
  <c r="F49" i="2" s="1"/>
  <c r="G49" i="2" s="1"/>
  <c r="E50" i="2" a="1"/>
  <c r="E50" i="2" s="1"/>
  <c r="F50" i="2" s="1"/>
  <c r="G50" i="2" s="1"/>
  <c r="E51" i="2" a="1"/>
  <c r="E51" i="2" s="1"/>
  <c r="F51" i="2" s="1"/>
  <c r="G51" i="2" s="1"/>
  <c r="E2" i="2" a="1"/>
  <c r="E2" i="2" s="1"/>
  <c r="F2" i="2" s="1"/>
  <c r="L21" i="1"/>
  <c r="L22" i="1"/>
  <c r="L20" i="1"/>
  <c r="N15" i="1"/>
  <c r="E3" i="1" a="1"/>
  <c r="E3" i="1" s="1"/>
  <c r="F3" i="1" s="1"/>
  <c r="E4" i="1" a="1"/>
  <c r="E4" i="1" s="1"/>
  <c r="F4" i="1" s="1"/>
  <c r="E5" i="1" a="1"/>
  <c r="E5" i="1" s="1"/>
  <c r="F5" i="1" s="1"/>
  <c r="E6" i="1" a="1"/>
  <c r="E6" i="1" s="1"/>
  <c r="F6" i="1" s="1"/>
  <c r="E7" i="1" a="1"/>
  <c r="E7" i="1" s="1"/>
  <c r="F7" i="1" s="1"/>
  <c r="E8" i="1" a="1"/>
  <c r="E8" i="1" s="1"/>
  <c r="F8" i="1" s="1"/>
  <c r="E9" i="1" a="1"/>
  <c r="E9" i="1" s="1"/>
  <c r="F9" i="1" s="1"/>
  <c r="E10" i="1" a="1"/>
  <c r="E10" i="1" s="1"/>
  <c r="F10" i="1" s="1"/>
  <c r="E11" i="1" a="1"/>
  <c r="E11" i="1" s="1"/>
  <c r="F11" i="1" s="1"/>
  <c r="E2" i="1" a="1"/>
  <c r="E2" i="1" s="1"/>
  <c r="F2" i="1" s="1"/>
  <c r="I5" i="1"/>
  <c r="I4" i="1"/>
  <c r="K12" i="2" l="1"/>
  <c r="G2" i="2"/>
  <c r="J12" i="2"/>
  <c r="I11" i="1"/>
  <c r="I15" i="1"/>
  <c r="I14" i="1"/>
  <c r="I13" i="1"/>
  <c r="I1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<sst xmlns="http://schemas.openxmlformats.org/spreadsheetml/2006/main" count="429" uniqueCount="146">
  <si>
    <t>Emp ID</t>
  </si>
  <si>
    <t>Name</t>
  </si>
  <si>
    <t>Department</t>
  </si>
  <si>
    <t>Salary</t>
  </si>
  <si>
    <t>Amit</t>
  </si>
  <si>
    <t>HR</t>
  </si>
  <si>
    <t>Rahul</t>
  </si>
  <si>
    <t>IT</t>
  </si>
  <si>
    <t>Pooja</t>
  </si>
  <si>
    <t>Finance</t>
  </si>
  <si>
    <t>Neha</t>
  </si>
  <si>
    <t>Marketing</t>
  </si>
  <si>
    <t>Rakesh</t>
  </si>
  <si>
    <t>Sales</t>
  </si>
  <si>
    <t>Vikash</t>
  </si>
  <si>
    <t>Anjali</t>
  </si>
  <si>
    <t>Rohit</t>
  </si>
  <si>
    <t>Deepak</t>
  </si>
  <si>
    <t>Kiran</t>
  </si>
  <si>
    <t>Bouns</t>
  </si>
  <si>
    <t>Bonus</t>
  </si>
  <si>
    <t>Condition add column in employee table</t>
  </si>
  <si>
    <t>Total salary</t>
  </si>
  <si>
    <t>find the bonus according to the Department</t>
  </si>
  <si>
    <t>1. Emp ID se Name find karo</t>
  </si>
  <si>
    <t>2. Emp ID se Salary find karo</t>
  </si>
  <si>
    <t>3. find the bonus according to the Department</t>
  </si>
  <si>
    <t>4. Condition add column in employee table</t>
  </si>
  <si>
    <t>Product ID</t>
  </si>
  <si>
    <t>Product Name</t>
  </si>
  <si>
    <t>Category</t>
  </si>
  <si>
    <t>Price</t>
  </si>
  <si>
    <t>P101</t>
  </si>
  <si>
    <t>Laptop</t>
  </si>
  <si>
    <t>Electronics</t>
  </si>
  <si>
    <t>P102</t>
  </si>
  <si>
    <t>Mobile</t>
  </si>
  <si>
    <t>P103</t>
  </si>
  <si>
    <t>Shirt</t>
  </si>
  <si>
    <t>Clothing</t>
  </si>
  <si>
    <t>P104</t>
  </si>
  <si>
    <t>Table</t>
  </si>
  <si>
    <t>Furniture</t>
  </si>
  <si>
    <t>P105</t>
  </si>
  <si>
    <t>Shoes</t>
  </si>
  <si>
    <t>P106</t>
  </si>
  <si>
    <t>TV</t>
  </si>
  <si>
    <t>P107</t>
  </si>
  <si>
    <t>Sofa</t>
  </si>
  <si>
    <t>P108</t>
  </si>
  <si>
    <t>Watch</t>
  </si>
  <si>
    <t>Accessories</t>
  </si>
  <si>
    <t>P109</t>
  </si>
  <si>
    <t>Bag</t>
  </si>
  <si>
    <t>P110</t>
  </si>
  <si>
    <t>Jeans</t>
  </si>
  <si>
    <t>P111</t>
  </si>
  <si>
    <t>Keyboard</t>
  </si>
  <si>
    <t>P112</t>
  </si>
  <si>
    <t>Mouse</t>
  </si>
  <si>
    <t>P113</t>
  </si>
  <si>
    <t>Jacket</t>
  </si>
  <si>
    <t>P114</t>
  </si>
  <si>
    <t>Bed</t>
  </si>
  <si>
    <t>P115</t>
  </si>
  <si>
    <t>Belt</t>
  </si>
  <si>
    <t>P116</t>
  </si>
  <si>
    <t>Headphones</t>
  </si>
  <si>
    <t>P117</t>
  </si>
  <si>
    <t>T-shirt</t>
  </si>
  <si>
    <t>P118</t>
  </si>
  <si>
    <t>Chair</t>
  </si>
  <si>
    <t>P119</t>
  </si>
  <si>
    <t>Wallet</t>
  </si>
  <si>
    <t>P120</t>
  </si>
  <si>
    <t>Monitor</t>
  </si>
  <si>
    <t>P121</t>
  </si>
  <si>
    <t>Tablet</t>
  </si>
  <si>
    <t>P122</t>
  </si>
  <si>
    <t>Hoodie</t>
  </si>
  <si>
    <t>P123</t>
  </si>
  <si>
    <t>Cupboard</t>
  </si>
  <si>
    <t>P124</t>
  </si>
  <si>
    <t>Sunglasses</t>
  </si>
  <si>
    <t>P125</t>
  </si>
  <si>
    <t>Printer</t>
  </si>
  <si>
    <t>P126</t>
  </si>
  <si>
    <t>Camera</t>
  </si>
  <si>
    <t>P127</t>
  </si>
  <si>
    <t>Kurta</t>
  </si>
  <si>
    <t>P128</t>
  </si>
  <si>
    <t>Dining Table</t>
  </si>
  <si>
    <t>P129</t>
  </si>
  <si>
    <t>Cap</t>
  </si>
  <si>
    <t>P130</t>
  </si>
  <si>
    <t>Speaker</t>
  </si>
  <si>
    <t>P131</t>
  </si>
  <si>
    <t>Power Bank</t>
  </si>
  <si>
    <t>P132</t>
  </si>
  <si>
    <t>Socks</t>
  </si>
  <si>
    <t>P133</t>
  </si>
  <si>
    <t>Bookshelf</t>
  </si>
  <si>
    <t>P134</t>
  </si>
  <si>
    <t>Bracelet</t>
  </si>
  <si>
    <t>P135</t>
  </si>
  <si>
    <t>Smartwatch</t>
  </si>
  <si>
    <t>P136</t>
  </si>
  <si>
    <t>Blazer</t>
  </si>
  <si>
    <t>P137</t>
  </si>
  <si>
    <t>Dressing Table</t>
  </si>
  <si>
    <t>P138</t>
  </si>
  <si>
    <t>Handbag</t>
  </si>
  <si>
    <t>P139</t>
  </si>
  <si>
    <t>Router</t>
  </si>
  <si>
    <t>P140</t>
  </si>
  <si>
    <t>Jeans Jacket</t>
  </si>
  <si>
    <t>P141</t>
  </si>
  <si>
    <t>Recliner</t>
  </si>
  <si>
    <t>P142</t>
  </si>
  <si>
    <t>Earbuds</t>
  </si>
  <si>
    <t>P143</t>
  </si>
  <si>
    <t>Scarf</t>
  </si>
  <si>
    <t>P144</t>
  </si>
  <si>
    <t>Study Table</t>
  </si>
  <si>
    <t>P145</t>
  </si>
  <si>
    <t>Ring</t>
  </si>
  <si>
    <t>P146</t>
  </si>
  <si>
    <t>Gaming Laptop</t>
  </si>
  <si>
    <t>P147</t>
  </si>
  <si>
    <t>Tracksuit</t>
  </si>
  <si>
    <t>P148</t>
  </si>
  <si>
    <t>Wardrobe</t>
  </si>
  <si>
    <t>P149</t>
  </si>
  <si>
    <t>Travel Bag</t>
  </si>
  <si>
    <t>P150</t>
  </si>
  <si>
    <t>Projector</t>
  </si>
  <si>
    <t xml:space="preserve"> 1.Category se Discount % find karo (VLOOKUP)</t>
  </si>
  <si>
    <t>2. Final Price calculate karo (Price − Discount)</t>
  </si>
  <si>
    <t>3. Product ID se Product Name find karo</t>
  </si>
  <si>
    <t>4. Product ID se Category find karo</t>
  </si>
  <si>
    <t>Discount</t>
  </si>
  <si>
    <t>Add this in product table</t>
  </si>
  <si>
    <t>Discount Price</t>
  </si>
  <si>
    <t>T Price</t>
  </si>
  <si>
    <t>Already Done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</si>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</sst>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/>
    </xf>
    <xf numFmtId="0" fontId="0" fillId="0" borderId="0" xfId="0" applyBorder="1"/>
    <xf numFmtId="0" fontId="2" fillId="0" borderId="0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/>
    </xf>
    <xf numFmtId="0" fontId="2" fillId="2" borderId="1" xfId="0" applyFont="1" applyFill="1" applyBorder="1"/>
    <xf numFmtId="0" fontId="2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9" fontId="0" fillId="0" borderId="1" xfId="0" applyNumberFormat="1" applyBorder="1" applyAlignment="1">
      <alignment vertical="center" wrapText="1"/>
    </xf>
    <xf numFmtId="0" fontId="2" fillId="6" borderId="2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0" borderId="1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8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1" fillId="8" borderId="1" xfId="0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7" borderId="1" xfId="0" applyNumberFormat="1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center"/>
    </xf>
    <xf numFmtId="0" fontId="2" fillId="9" borderId="1" xfId="0" applyFont="1" applyFill="1" applyBorder="1"/>
    <xf numFmtId="0" fontId="0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F5611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A91275-AA65-4626-B373-2CCEBE3D8509}" name="Table1" displayName="Table1" ref="A1:G52" totalsRowCount="1" headerRowDxfId="8" dataDxfId="7" headerRowBorderDxfId="17" tableBorderDxfId="18" totalsRowBorderDxfId="16">
  <autoFilter ref="A1:G51" xr:uid="{77A91275-AA65-4626-B373-2CCEBE3D8509}"/>
  <tableColumns count="7">
    <tableColumn id="1" xr3:uid="{C97C71CE-76F2-44BB-B901-ED0B743AB45E}" name="Product ID" dataDxfId="15" totalsRowDxfId="6"/>
    <tableColumn id="2" xr3:uid="{EAFBBE23-F373-4729-B03D-0039C5D080F0}" name="Product Name" dataDxfId="14" totalsRowDxfId="5"/>
    <tableColumn id="3" xr3:uid="{10B18EF0-A833-42B2-BE1C-DC86CF251965}" name="Category" dataDxfId="13" totalsRowDxfId="4"/>
    <tableColumn id="4" xr3:uid="{07170309-BF36-4714-BF94-BE8CFEDA96B2}" name="Price" dataDxfId="12" totalsRowDxfId="3"/>
    <tableColumn id="5" xr3:uid="{B6886D5E-D890-44AF-A750-847D38CE40C1}" name="Discount" dataDxfId="11" totalsRowDxfId="2">
      <calculatedColumnFormula array="1">_xlfn.IFS(C2="Electronics","10%",C2="Clothing","5%",C2="Furniture","8%",C2="Accessories","6%")</calculatedColumnFormula>
    </tableColumn>
    <tableColumn id="6" xr3:uid="{38E759C9-4522-4388-86A0-1A3BDCE7E53E}" name="Discount Price" dataDxfId="10" totalsRowDxfId="1">
      <calculatedColumnFormula>D2*E2</calculatedColumnFormula>
    </tableColumn>
    <tableColumn id="7" xr3:uid="{F6C3D741-1A60-481F-A859-5A56C81C7DE0}" name="T Price" dataDxfId="9" totalsRowDxfId="0">
      <calculatedColumnFormula>D2-F2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A6E3-ECCB-4DA3-9CC2-8A91A58F559B}">
  <sheetPr>
    <tabColor rgb="FFF5611F"/>
  </sheetPr>
  <dimension ref="A1:D11"/>
  <sheetViews>
    <sheetView workbookViewId="0">
      <selection activeCell="C20" sqref="C20"/>
    </sheetView>
  </sheetViews>
  <sheetFormatPr defaultColWidth="14.6640625" defaultRowHeight="14.4" x14ac:dyDescent="0.3"/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101</v>
      </c>
      <c r="B2" s="3" t="s">
        <v>4</v>
      </c>
      <c r="C2" s="3" t="s">
        <v>5</v>
      </c>
      <c r="D2" s="3">
        <v>25000</v>
      </c>
    </row>
    <row r="3" spans="1:4" x14ac:dyDescent="0.3">
      <c r="A3" s="3">
        <v>102</v>
      </c>
      <c r="B3" s="3" t="s">
        <v>6</v>
      </c>
      <c r="C3" s="3" t="s">
        <v>7</v>
      </c>
      <c r="D3" s="3">
        <v>35000</v>
      </c>
    </row>
    <row r="4" spans="1:4" x14ac:dyDescent="0.3">
      <c r="A4" s="3">
        <v>103</v>
      </c>
      <c r="B4" s="3" t="s">
        <v>8</v>
      </c>
      <c r="C4" s="3" t="s">
        <v>9</v>
      </c>
      <c r="D4" s="3">
        <v>30000</v>
      </c>
    </row>
    <row r="5" spans="1:4" x14ac:dyDescent="0.3">
      <c r="A5" s="3">
        <v>104</v>
      </c>
      <c r="B5" s="3" t="s">
        <v>10</v>
      </c>
      <c r="C5" s="3" t="s">
        <v>11</v>
      </c>
      <c r="D5" s="3">
        <v>28000</v>
      </c>
    </row>
    <row r="6" spans="1:4" x14ac:dyDescent="0.3">
      <c r="A6" s="3">
        <v>105</v>
      </c>
      <c r="B6" s="3" t="s">
        <v>12</v>
      </c>
      <c r="C6" s="3" t="s">
        <v>13</v>
      </c>
      <c r="D6" s="3">
        <v>27000</v>
      </c>
    </row>
    <row r="7" spans="1:4" x14ac:dyDescent="0.3">
      <c r="A7" s="3">
        <v>106</v>
      </c>
      <c r="B7" s="3" t="s">
        <v>14</v>
      </c>
      <c r="C7" s="3" t="s">
        <v>7</v>
      </c>
      <c r="D7" s="3">
        <v>36000</v>
      </c>
    </row>
    <row r="8" spans="1:4" x14ac:dyDescent="0.3">
      <c r="A8" s="3">
        <v>107</v>
      </c>
      <c r="B8" s="3" t="s">
        <v>15</v>
      </c>
      <c r="C8" s="3" t="s">
        <v>9</v>
      </c>
      <c r="D8" s="3">
        <v>31000</v>
      </c>
    </row>
    <row r="9" spans="1:4" x14ac:dyDescent="0.3">
      <c r="A9" s="3">
        <v>108</v>
      </c>
      <c r="B9" s="3" t="s">
        <v>16</v>
      </c>
      <c r="C9" s="3" t="s">
        <v>13</v>
      </c>
      <c r="D9" s="3">
        <v>29000</v>
      </c>
    </row>
    <row r="10" spans="1:4" x14ac:dyDescent="0.3">
      <c r="A10" s="3">
        <v>109</v>
      </c>
      <c r="B10" s="3" t="s">
        <v>17</v>
      </c>
      <c r="C10" s="3" t="s">
        <v>5</v>
      </c>
      <c r="D10" s="3">
        <v>26000</v>
      </c>
    </row>
    <row r="11" spans="1:4" x14ac:dyDescent="0.3">
      <c r="A11" s="3">
        <v>110</v>
      </c>
      <c r="B11" s="3" t="s">
        <v>18</v>
      </c>
      <c r="C11" s="3" t="s">
        <v>11</v>
      </c>
      <c r="D11" s="3">
        <v>24000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F1C28-29FE-4AD8-A6C6-3D318A049625}">
  <dimension ref="A1:P22"/>
  <sheetViews>
    <sheetView workbookViewId="0">
      <selection sqref="A1:D11"/>
    </sheetView>
  </sheetViews>
  <sheetFormatPr defaultColWidth="11" defaultRowHeight="14.4" x14ac:dyDescent="0.3"/>
  <sheetData>
    <row r="1" spans="1:16" ht="22.8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19</v>
      </c>
      <c r="F1" s="2" t="s">
        <v>22</v>
      </c>
      <c r="G1" s="9"/>
      <c r="L1" s="7" t="s">
        <v>21</v>
      </c>
      <c r="M1" s="7"/>
      <c r="N1" s="7"/>
      <c r="O1" s="7"/>
    </row>
    <row r="2" spans="1:16" ht="28.8" x14ac:dyDescent="0.3">
      <c r="A2" s="3">
        <v>101</v>
      </c>
      <c r="B2" s="3" t="s">
        <v>4</v>
      </c>
      <c r="C2" s="3" t="s">
        <v>5</v>
      </c>
      <c r="D2" s="3">
        <v>25000</v>
      </c>
      <c r="E2" s="4" cm="1">
        <f t="array" ref="E2">_xlfn.IFS(C2="HR",2000,C2="IT",4000,C2="Finance",3000,C2="Marketing",2500,C2="Sales",2200)</f>
        <v>2000</v>
      </c>
      <c r="F2" s="4">
        <f>SUM(D2:E2)</f>
        <v>27000</v>
      </c>
      <c r="G2" s="8"/>
      <c r="M2" s="2" t="s">
        <v>2</v>
      </c>
      <c r="N2" s="2" t="s">
        <v>20</v>
      </c>
    </row>
    <row r="3" spans="1:16" ht="20.399999999999999" customHeight="1" x14ac:dyDescent="0.3">
      <c r="A3" s="3">
        <v>102</v>
      </c>
      <c r="B3" s="3" t="s">
        <v>6</v>
      </c>
      <c r="C3" s="3" t="s">
        <v>7</v>
      </c>
      <c r="D3" s="3">
        <v>35000</v>
      </c>
      <c r="E3" s="4" cm="1">
        <f t="array" ref="E3">_xlfn.IFS(C3="HR",2000,C3="IT",4000,C3="Finance",3000,C3="Marketing",2500,C3="Sales",2200)</f>
        <v>4000</v>
      </c>
      <c r="F3" s="4">
        <f t="shared" ref="F3:F11" si="0">SUM(D3:E3)</f>
        <v>39000</v>
      </c>
      <c r="G3" s="8"/>
      <c r="H3" s="5" t="s">
        <v>1</v>
      </c>
      <c r="I3" s="2" t="s">
        <v>2</v>
      </c>
      <c r="M3" s="1" t="s">
        <v>5</v>
      </c>
      <c r="N3" s="1">
        <v>2000</v>
      </c>
    </row>
    <row r="4" spans="1:16" x14ac:dyDescent="0.3">
      <c r="A4" s="3">
        <v>103</v>
      </c>
      <c r="B4" s="3" t="s">
        <v>8</v>
      </c>
      <c r="C4" s="3" t="s">
        <v>9</v>
      </c>
      <c r="D4" s="3">
        <v>30000</v>
      </c>
      <c r="E4" s="4" cm="1">
        <f t="array" ref="E4">_xlfn.IFS(C4="HR",2000,C4="IT",4000,C4="Finance",3000,C4="Marketing",2500,C4="Sales",2200)</f>
        <v>3000</v>
      </c>
      <c r="F4" s="4">
        <f t="shared" si="0"/>
        <v>33000</v>
      </c>
      <c r="G4" s="8"/>
      <c r="H4" s="6" t="s">
        <v>6</v>
      </c>
      <c r="I4" s="4" t="str">
        <f>VLOOKUP(H4,B2:D11,2,0)</f>
        <v>IT</v>
      </c>
      <c r="M4" s="1" t="s">
        <v>7</v>
      </c>
      <c r="N4" s="1">
        <v>4000</v>
      </c>
    </row>
    <row r="5" spans="1:16" ht="16.8" customHeight="1" x14ac:dyDescent="0.3">
      <c r="A5" s="3">
        <v>104</v>
      </c>
      <c r="B5" s="3" t="s">
        <v>10</v>
      </c>
      <c r="C5" s="3" t="s">
        <v>11</v>
      </c>
      <c r="D5" s="3">
        <v>28000</v>
      </c>
      <c r="E5" s="4" cm="1">
        <f t="array" ref="E5">_xlfn.IFS(C5="HR",2000,C5="IT",4000,C5="Finance",3000,C5="Marketing",2500,C5="Sales",2200)</f>
        <v>2500</v>
      </c>
      <c r="F5" s="4">
        <f t="shared" si="0"/>
        <v>30500</v>
      </c>
      <c r="G5" s="8"/>
      <c r="H5" s="6" t="s">
        <v>18</v>
      </c>
      <c r="I5" s="4" t="str">
        <f>VLOOKUP(H5,B3:D12,2,0)</f>
        <v>Marketing</v>
      </c>
      <c r="M5" s="1" t="s">
        <v>9</v>
      </c>
      <c r="N5" s="1">
        <v>3000</v>
      </c>
    </row>
    <row r="6" spans="1:16" x14ac:dyDescent="0.3">
      <c r="A6" s="3">
        <v>105</v>
      </c>
      <c r="B6" s="3" t="s">
        <v>12</v>
      </c>
      <c r="C6" s="3" t="s">
        <v>13</v>
      </c>
      <c r="D6" s="3">
        <v>27000</v>
      </c>
      <c r="E6" s="4" cm="1">
        <f t="array" ref="E6">_xlfn.IFS(C6="HR",2000,C6="IT",4000,C6="Finance",3000,C6="Marketing",2500,C6="Sales",2200)</f>
        <v>2200</v>
      </c>
      <c r="F6" s="4">
        <f t="shared" si="0"/>
        <v>29200</v>
      </c>
      <c r="G6" s="8"/>
      <c r="M6" s="1" t="s">
        <v>11</v>
      </c>
      <c r="N6" s="1">
        <v>2500</v>
      </c>
    </row>
    <row r="7" spans="1:16" x14ac:dyDescent="0.3">
      <c r="A7" s="3">
        <v>106</v>
      </c>
      <c r="B7" s="3" t="s">
        <v>14</v>
      </c>
      <c r="C7" s="3" t="s">
        <v>7</v>
      </c>
      <c r="D7" s="3">
        <v>36000</v>
      </c>
      <c r="E7" s="4" cm="1">
        <f t="array" ref="E7">_xlfn.IFS(C7="HR",2000,C7="IT",4000,C7="Finance",3000,C7="Marketing",2500,C7="Sales",2200)</f>
        <v>4000</v>
      </c>
      <c r="F7" s="4">
        <f t="shared" si="0"/>
        <v>40000</v>
      </c>
      <c r="G7" s="8"/>
      <c r="M7" s="1" t="s">
        <v>13</v>
      </c>
      <c r="N7" s="1">
        <v>2200</v>
      </c>
    </row>
    <row r="8" spans="1:16" x14ac:dyDescent="0.3">
      <c r="A8" s="3">
        <v>107</v>
      </c>
      <c r="B8" s="3" t="s">
        <v>15</v>
      </c>
      <c r="C8" s="3" t="s">
        <v>9</v>
      </c>
      <c r="D8" s="3">
        <v>31000</v>
      </c>
      <c r="E8" s="4" cm="1">
        <f t="array" ref="E8">_xlfn.IFS(C8="HR",2000,C8="IT",4000,C8="Finance",3000,C8="Marketing",2500,C8="Sales",2200)</f>
        <v>3000</v>
      </c>
      <c r="F8" s="4">
        <f t="shared" si="0"/>
        <v>34000</v>
      </c>
      <c r="G8" s="8"/>
      <c r="H8" s="10" t="s">
        <v>23</v>
      </c>
      <c r="I8" s="10"/>
      <c r="J8" s="10"/>
      <c r="K8" s="10"/>
    </row>
    <row r="9" spans="1:16" x14ac:dyDescent="0.3">
      <c r="A9" s="3">
        <v>108</v>
      </c>
      <c r="B9" s="3" t="s">
        <v>16</v>
      </c>
      <c r="C9" s="3" t="s">
        <v>13</v>
      </c>
      <c r="D9" s="3">
        <v>29000</v>
      </c>
      <c r="E9" s="4" cm="1">
        <f t="array" ref="E9">_xlfn.IFS(C9="HR",2000,C9="IT",4000,C9="Finance",3000,C9="Marketing",2500,C9="Sales",2200)</f>
        <v>2200</v>
      </c>
      <c r="F9" s="4">
        <f t="shared" si="0"/>
        <v>31200</v>
      </c>
      <c r="G9" s="8"/>
    </row>
    <row r="10" spans="1:16" x14ac:dyDescent="0.3">
      <c r="A10" s="3">
        <v>109</v>
      </c>
      <c r="B10" s="3" t="s">
        <v>17</v>
      </c>
      <c r="C10" s="3" t="s">
        <v>5</v>
      </c>
      <c r="D10" s="3">
        <v>26000</v>
      </c>
      <c r="E10" s="4" cm="1">
        <f t="array" ref="E10">_xlfn.IFS(C10="HR",2000,C10="IT",4000,C10="Finance",3000,C10="Marketing",2500,C10="Sales",2200)</f>
        <v>2000</v>
      </c>
      <c r="F10" s="4">
        <f t="shared" si="0"/>
        <v>28000</v>
      </c>
      <c r="G10" s="8"/>
      <c r="H10" s="11" t="s">
        <v>2</v>
      </c>
      <c r="I10" s="11" t="s">
        <v>20</v>
      </c>
    </row>
    <row r="11" spans="1:16" x14ac:dyDescent="0.3">
      <c r="A11" s="3">
        <v>110</v>
      </c>
      <c r="B11" s="3" t="s">
        <v>18</v>
      </c>
      <c r="C11" s="3" t="s">
        <v>11</v>
      </c>
      <c r="D11" s="3">
        <v>24000</v>
      </c>
      <c r="E11" s="4" cm="1">
        <f t="array" ref="E11">_xlfn.IFS(C11="HR",2000,C11="IT",4000,C11="Finance",3000,C11="Marketing",2500,C11="Sales",2200)</f>
        <v>2500</v>
      </c>
      <c r="F11" s="4">
        <f t="shared" si="0"/>
        <v>26500</v>
      </c>
      <c r="G11" s="8"/>
      <c r="H11" s="4" t="s">
        <v>7</v>
      </c>
      <c r="I11" s="4">
        <f>VLOOKUP(H11,C1:E11,3,0)</f>
        <v>4000</v>
      </c>
    </row>
    <row r="12" spans="1:16" x14ac:dyDescent="0.3">
      <c r="F12" s="8"/>
      <c r="G12" s="8"/>
      <c r="H12" s="1" t="s">
        <v>9</v>
      </c>
      <c r="I12" s="4">
        <f t="shared" ref="I12:I15" si="1">VLOOKUP(H12,C2:E12,3,0)</f>
        <v>3000</v>
      </c>
      <c r="M12" s="12" t="s">
        <v>24</v>
      </c>
      <c r="N12" s="12"/>
      <c r="O12" s="12"/>
      <c r="P12" s="12"/>
    </row>
    <row r="13" spans="1:16" x14ac:dyDescent="0.3">
      <c r="H13" s="1" t="s">
        <v>5</v>
      </c>
      <c r="I13" s="4">
        <f t="shared" si="1"/>
        <v>2000</v>
      </c>
    </row>
    <row r="14" spans="1:16" x14ac:dyDescent="0.3">
      <c r="H14" s="1" t="s">
        <v>11</v>
      </c>
      <c r="I14" s="4">
        <f t="shared" si="1"/>
        <v>2500</v>
      </c>
      <c r="M14" s="2" t="s">
        <v>0</v>
      </c>
      <c r="N14" s="2" t="s">
        <v>1</v>
      </c>
    </row>
    <row r="15" spans="1:16" x14ac:dyDescent="0.3">
      <c r="A15" s="12" t="s">
        <v>24</v>
      </c>
      <c r="B15" s="12"/>
      <c r="C15" s="12"/>
      <c r="D15" s="12"/>
      <c r="H15" s="1" t="s">
        <v>13</v>
      </c>
      <c r="I15" s="4">
        <f t="shared" si="1"/>
        <v>2200</v>
      </c>
      <c r="M15" s="4">
        <v>108</v>
      </c>
      <c r="N15" s="4" t="str">
        <f>VLOOKUP(M15,A1:B11,2,0)</f>
        <v>Rohit</v>
      </c>
    </row>
    <row r="16" spans="1:16" x14ac:dyDescent="0.3">
      <c r="A16" s="12" t="s">
        <v>25</v>
      </c>
      <c r="B16" s="12"/>
      <c r="C16" s="12"/>
      <c r="D16" s="12"/>
    </row>
    <row r="17" spans="1:13" x14ac:dyDescent="0.3">
      <c r="A17" s="13" t="s">
        <v>26</v>
      </c>
      <c r="B17" s="13"/>
      <c r="C17" s="13"/>
      <c r="D17" s="13"/>
      <c r="J17" s="12" t="s">
        <v>25</v>
      </c>
      <c r="K17" s="12"/>
      <c r="L17" s="12"/>
      <c r="M17" s="12"/>
    </row>
    <row r="18" spans="1:13" ht="15.6" x14ac:dyDescent="0.3">
      <c r="A18" s="14" t="s">
        <v>27</v>
      </c>
      <c r="B18" s="14"/>
      <c r="C18" s="14"/>
      <c r="D18" s="14"/>
    </row>
    <row r="19" spans="1:13" x14ac:dyDescent="0.3">
      <c r="K19" s="2" t="s">
        <v>0</v>
      </c>
      <c r="L19" s="2" t="s">
        <v>3</v>
      </c>
    </row>
    <row r="20" spans="1:13" x14ac:dyDescent="0.3">
      <c r="K20" s="4">
        <v>108</v>
      </c>
      <c r="L20" s="4">
        <f>VLOOKUP(K20,$A$1:F11,6,0)</f>
        <v>31200</v>
      </c>
    </row>
    <row r="21" spans="1:13" x14ac:dyDescent="0.3">
      <c r="K21" s="4">
        <v>109</v>
      </c>
      <c r="L21" s="4">
        <f>VLOOKUP(K21,$A$1:F12,6,0)</f>
        <v>28000</v>
      </c>
    </row>
    <row r="22" spans="1:13" x14ac:dyDescent="0.3">
      <c r="K22" s="4">
        <v>101</v>
      </c>
      <c r="L22" s="4">
        <f>VLOOKUP(K22,$A$1:F13,6,0)</f>
        <v>27000</v>
      </c>
    </row>
  </sheetData>
  <mergeCells count="8">
    <mergeCell ref="A18:D18"/>
    <mergeCell ref="A15:D15"/>
    <mergeCell ref="A16:D16"/>
    <mergeCell ref="M12:P12"/>
    <mergeCell ref="J17:M17"/>
    <mergeCell ref="L1:O1"/>
    <mergeCell ref="H8:K8"/>
    <mergeCell ref="A17:D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6D5A-C28C-46CD-BAFD-51F5006E64FE}">
  <sheetPr>
    <tabColor rgb="FF92D050"/>
  </sheetPr>
  <dimension ref="A1:I51"/>
  <sheetViews>
    <sheetView topLeftCell="B1" workbookViewId="0">
      <selection activeCell="I21" sqref="I21"/>
    </sheetView>
  </sheetViews>
  <sheetFormatPr defaultColWidth="16.77734375" defaultRowHeight="14.4" x14ac:dyDescent="0.3"/>
  <sheetData>
    <row r="1" spans="1:9" x14ac:dyDescent="0.3">
      <c r="A1" s="2" t="s">
        <v>28</v>
      </c>
      <c r="B1" s="2" t="s">
        <v>29</v>
      </c>
      <c r="C1" s="2" t="s">
        <v>30</v>
      </c>
      <c r="D1" s="2" t="s">
        <v>31</v>
      </c>
    </row>
    <row r="2" spans="1:9" x14ac:dyDescent="0.3">
      <c r="A2" s="1" t="s">
        <v>32</v>
      </c>
      <c r="B2" s="1" t="s">
        <v>33</v>
      </c>
      <c r="C2" s="1" t="s">
        <v>34</v>
      </c>
      <c r="D2" s="1">
        <v>55000</v>
      </c>
    </row>
    <row r="3" spans="1:9" x14ac:dyDescent="0.3">
      <c r="A3" s="1" t="s">
        <v>35</v>
      </c>
      <c r="B3" s="1" t="s">
        <v>36</v>
      </c>
      <c r="C3" s="1" t="s">
        <v>34</v>
      </c>
      <c r="D3" s="1">
        <v>20000</v>
      </c>
      <c r="G3" s="17" t="s">
        <v>136</v>
      </c>
      <c r="H3" s="15"/>
      <c r="I3" s="15"/>
    </row>
    <row r="4" spans="1:9" x14ac:dyDescent="0.3">
      <c r="A4" s="1" t="s">
        <v>37</v>
      </c>
      <c r="B4" s="1" t="s">
        <v>38</v>
      </c>
      <c r="C4" s="1" t="s">
        <v>39</v>
      </c>
      <c r="D4" s="1">
        <v>1500</v>
      </c>
      <c r="G4" s="17" t="s">
        <v>137</v>
      </c>
      <c r="H4" s="15"/>
      <c r="I4" s="15"/>
    </row>
    <row r="5" spans="1:9" x14ac:dyDescent="0.3">
      <c r="A5" s="1" t="s">
        <v>40</v>
      </c>
      <c r="B5" s="1" t="s">
        <v>41</v>
      </c>
      <c r="C5" s="1" t="s">
        <v>42</v>
      </c>
      <c r="D5" s="1">
        <v>7000</v>
      </c>
      <c r="G5" s="17" t="s">
        <v>138</v>
      </c>
      <c r="H5" s="15"/>
      <c r="I5" s="15"/>
    </row>
    <row r="6" spans="1:9" x14ac:dyDescent="0.3">
      <c r="A6" s="1" t="s">
        <v>43</v>
      </c>
      <c r="B6" s="1" t="s">
        <v>44</v>
      </c>
      <c r="C6" s="1" t="s">
        <v>39</v>
      </c>
      <c r="D6" s="1">
        <v>2500</v>
      </c>
      <c r="G6" s="17" t="s">
        <v>139</v>
      </c>
      <c r="H6" s="15"/>
      <c r="I6" s="15"/>
    </row>
    <row r="7" spans="1:9" x14ac:dyDescent="0.3">
      <c r="A7" s="1" t="s">
        <v>45</v>
      </c>
      <c r="B7" s="1" t="s">
        <v>46</v>
      </c>
      <c r="C7" s="1" t="s">
        <v>34</v>
      </c>
      <c r="D7" s="1">
        <v>40000</v>
      </c>
    </row>
    <row r="8" spans="1:9" x14ac:dyDescent="0.3">
      <c r="A8" s="1" t="s">
        <v>47</v>
      </c>
      <c r="B8" s="1" t="s">
        <v>48</v>
      </c>
      <c r="C8" s="1" t="s">
        <v>42</v>
      </c>
      <c r="D8" s="1">
        <v>30000</v>
      </c>
    </row>
    <row r="9" spans="1:9" x14ac:dyDescent="0.3">
      <c r="A9" s="1" t="s">
        <v>49</v>
      </c>
      <c r="B9" s="1" t="s">
        <v>50</v>
      </c>
      <c r="C9" s="1" t="s">
        <v>51</v>
      </c>
      <c r="D9" s="1">
        <v>3500</v>
      </c>
    </row>
    <row r="10" spans="1:9" x14ac:dyDescent="0.3">
      <c r="A10" s="1" t="s">
        <v>52</v>
      </c>
      <c r="B10" s="1" t="s">
        <v>53</v>
      </c>
      <c r="C10" s="1" t="s">
        <v>51</v>
      </c>
      <c r="D10" s="1">
        <v>2000</v>
      </c>
    </row>
    <row r="11" spans="1:9" x14ac:dyDescent="0.3">
      <c r="A11" s="1" t="s">
        <v>54</v>
      </c>
      <c r="B11" s="1" t="s">
        <v>55</v>
      </c>
      <c r="C11" s="1" t="s">
        <v>39</v>
      </c>
      <c r="D11" s="1">
        <v>2200</v>
      </c>
    </row>
    <row r="12" spans="1:9" x14ac:dyDescent="0.3">
      <c r="A12" s="1" t="s">
        <v>56</v>
      </c>
      <c r="B12" s="1" t="s">
        <v>57</v>
      </c>
      <c r="C12" s="1" t="s">
        <v>34</v>
      </c>
      <c r="D12" s="1">
        <v>1200</v>
      </c>
    </row>
    <row r="13" spans="1:9" x14ac:dyDescent="0.3">
      <c r="A13" s="1" t="s">
        <v>58</v>
      </c>
      <c r="B13" s="1" t="s">
        <v>59</v>
      </c>
      <c r="C13" s="1" t="s">
        <v>34</v>
      </c>
      <c r="D13" s="1">
        <v>800</v>
      </c>
      <c r="G13" s="15" t="s">
        <v>141</v>
      </c>
      <c r="H13" s="15"/>
    </row>
    <row r="14" spans="1:9" x14ac:dyDescent="0.3">
      <c r="A14" s="1" t="s">
        <v>60</v>
      </c>
      <c r="B14" s="1" t="s">
        <v>61</v>
      </c>
      <c r="C14" s="1" t="s">
        <v>39</v>
      </c>
      <c r="D14" s="1">
        <v>3500</v>
      </c>
      <c r="G14" s="2" t="s">
        <v>30</v>
      </c>
      <c r="H14" s="2" t="s">
        <v>140</v>
      </c>
    </row>
    <row r="15" spans="1:9" x14ac:dyDescent="0.3">
      <c r="A15" s="1" t="s">
        <v>62</v>
      </c>
      <c r="B15" s="1" t="s">
        <v>63</v>
      </c>
      <c r="C15" s="1" t="s">
        <v>42</v>
      </c>
      <c r="D15" s="1">
        <v>25000</v>
      </c>
      <c r="G15" s="1" t="s">
        <v>34</v>
      </c>
      <c r="H15" s="16">
        <v>0.1</v>
      </c>
    </row>
    <row r="16" spans="1:9" x14ac:dyDescent="0.3">
      <c r="A16" s="1" t="s">
        <v>64</v>
      </c>
      <c r="B16" s="1" t="s">
        <v>65</v>
      </c>
      <c r="C16" s="1" t="s">
        <v>51</v>
      </c>
      <c r="D16" s="1">
        <v>900</v>
      </c>
      <c r="G16" s="1" t="s">
        <v>39</v>
      </c>
      <c r="H16" s="16">
        <v>0.05</v>
      </c>
    </row>
    <row r="17" spans="1:8" x14ac:dyDescent="0.3">
      <c r="A17" s="1" t="s">
        <v>66</v>
      </c>
      <c r="B17" s="1" t="s">
        <v>67</v>
      </c>
      <c r="C17" s="1" t="s">
        <v>34</v>
      </c>
      <c r="D17" s="1">
        <v>2500</v>
      </c>
      <c r="G17" s="1" t="s">
        <v>42</v>
      </c>
      <c r="H17" s="16">
        <v>0.08</v>
      </c>
    </row>
    <row r="18" spans="1:8" x14ac:dyDescent="0.3">
      <c r="A18" s="1" t="s">
        <v>68</v>
      </c>
      <c r="B18" s="1" t="s">
        <v>69</v>
      </c>
      <c r="C18" s="1" t="s">
        <v>39</v>
      </c>
      <c r="D18" s="1">
        <v>1200</v>
      </c>
      <c r="G18" s="1" t="s">
        <v>51</v>
      </c>
      <c r="H18" s="16">
        <v>0.06</v>
      </c>
    </row>
    <row r="19" spans="1:8" x14ac:dyDescent="0.3">
      <c r="A19" s="1" t="s">
        <v>70</v>
      </c>
      <c r="B19" s="1" t="s">
        <v>71</v>
      </c>
      <c r="C19" s="1" t="s">
        <v>42</v>
      </c>
      <c r="D19" s="1">
        <v>4500</v>
      </c>
    </row>
    <row r="20" spans="1:8" x14ac:dyDescent="0.3">
      <c r="A20" s="1" t="s">
        <v>72</v>
      </c>
      <c r="B20" s="1" t="s">
        <v>73</v>
      </c>
      <c r="C20" s="1" t="s">
        <v>51</v>
      </c>
      <c r="D20" s="1">
        <v>1500</v>
      </c>
    </row>
    <row r="21" spans="1:8" x14ac:dyDescent="0.3">
      <c r="A21" s="1" t="s">
        <v>74</v>
      </c>
      <c r="B21" s="1" t="s">
        <v>75</v>
      </c>
      <c r="C21" s="1" t="s">
        <v>34</v>
      </c>
      <c r="D21" s="1">
        <v>15000</v>
      </c>
    </row>
    <row r="22" spans="1:8" x14ac:dyDescent="0.3">
      <c r="A22" s="1" t="s">
        <v>76</v>
      </c>
      <c r="B22" s="1" t="s">
        <v>77</v>
      </c>
      <c r="C22" s="1" t="s">
        <v>34</v>
      </c>
      <c r="D22" s="1">
        <v>22000</v>
      </c>
    </row>
    <row r="23" spans="1:8" x14ac:dyDescent="0.3">
      <c r="A23" s="1" t="s">
        <v>78</v>
      </c>
      <c r="B23" s="1" t="s">
        <v>79</v>
      </c>
      <c r="C23" s="1" t="s">
        <v>39</v>
      </c>
      <c r="D23" s="1">
        <v>2800</v>
      </c>
    </row>
    <row r="24" spans="1:8" x14ac:dyDescent="0.3">
      <c r="A24" s="1" t="s">
        <v>80</v>
      </c>
      <c r="B24" s="1" t="s">
        <v>81</v>
      </c>
      <c r="C24" s="1" t="s">
        <v>42</v>
      </c>
      <c r="D24" s="1">
        <v>18000</v>
      </c>
    </row>
    <row r="25" spans="1:8" x14ac:dyDescent="0.3">
      <c r="A25" s="1" t="s">
        <v>82</v>
      </c>
      <c r="B25" s="1" t="s">
        <v>83</v>
      </c>
      <c r="C25" s="1" t="s">
        <v>51</v>
      </c>
      <c r="D25" s="1">
        <v>2000</v>
      </c>
    </row>
    <row r="26" spans="1:8" x14ac:dyDescent="0.3">
      <c r="A26" s="1" t="s">
        <v>84</v>
      </c>
      <c r="B26" s="1" t="s">
        <v>85</v>
      </c>
      <c r="C26" s="1" t="s">
        <v>34</v>
      </c>
      <c r="D26" s="1">
        <v>9000</v>
      </c>
    </row>
    <row r="27" spans="1:8" x14ac:dyDescent="0.3">
      <c r="A27" s="1" t="s">
        <v>86</v>
      </c>
      <c r="B27" s="1" t="s">
        <v>87</v>
      </c>
      <c r="C27" s="1" t="s">
        <v>34</v>
      </c>
      <c r="D27" s="1">
        <v>35000</v>
      </c>
    </row>
    <row r="28" spans="1:8" x14ac:dyDescent="0.3">
      <c r="A28" s="1" t="s">
        <v>88</v>
      </c>
      <c r="B28" s="1" t="s">
        <v>89</v>
      </c>
      <c r="C28" s="1" t="s">
        <v>39</v>
      </c>
      <c r="D28" s="1">
        <v>2000</v>
      </c>
    </row>
    <row r="29" spans="1:8" x14ac:dyDescent="0.3">
      <c r="A29" s="1" t="s">
        <v>90</v>
      </c>
      <c r="B29" s="1" t="s">
        <v>91</v>
      </c>
      <c r="C29" s="1" t="s">
        <v>42</v>
      </c>
      <c r="D29" s="1">
        <v>27000</v>
      </c>
    </row>
    <row r="30" spans="1:8" x14ac:dyDescent="0.3">
      <c r="A30" s="1" t="s">
        <v>92</v>
      </c>
      <c r="B30" s="1" t="s">
        <v>93</v>
      </c>
      <c r="C30" s="1" t="s">
        <v>51</v>
      </c>
      <c r="D30" s="1">
        <v>700</v>
      </c>
    </row>
    <row r="31" spans="1:8" x14ac:dyDescent="0.3">
      <c r="A31" s="1" t="s">
        <v>94</v>
      </c>
      <c r="B31" s="1" t="s">
        <v>95</v>
      </c>
      <c r="C31" s="1" t="s">
        <v>34</v>
      </c>
      <c r="D31" s="1">
        <v>6000</v>
      </c>
    </row>
    <row r="32" spans="1:8" x14ac:dyDescent="0.3">
      <c r="A32" s="1" t="s">
        <v>96</v>
      </c>
      <c r="B32" s="1" t="s">
        <v>97</v>
      </c>
      <c r="C32" s="1" t="s">
        <v>34</v>
      </c>
      <c r="D32" s="1">
        <v>1500</v>
      </c>
    </row>
    <row r="33" spans="1:4" x14ac:dyDescent="0.3">
      <c r="A33" s="1" t="s">
        <v>98</v>
      </c>
      <c r="B33" s="1" t="s">
        <v>99</v>
      </c>
      <c r="C33" s="1" t="s">
        <v>39</v>
      </c>
      <c r="D33" s="1">
        <v>400</v>
      </c>
    </row>
    <row r="34" spans="1:4" x14ac:dyDescent="0.3">
      <c r="A34" s="1" t="s">
        <v>100</v>
      </c>
      <c r="B34" s="1" t="s">
        <v>101</v>
      </c>
      <c r="C34" s="1" t="s">
        <v>42</v>
      </c>
      <c r="D34" s="1">
        <v>8000</v>
      </c>
    </row>
    <row r="35" spans="1:4" x14ac:dyDescent="0.3">
      <c r="A35" s="1" t="s">
        <v>102</v>
      </c>
      <c r="B35" s="1" t="s">
        <v>103</v>
      </c>
      <c r="C35" s="1" t="s">
        <v>51</v>
      </c>
      <c r="D35" s="1">
        <v>1200</v>
      </c>
    </row>
    <row r="36" spans="1:4" x14ac:dyDescent="0.3">
      <c r="A36" s="1" t="s">
        <v>104</v>
      </c>
      <c r="B36" s="1" t="s">
        <v>105</v>
      </c>
      <c r="C36" s="1" t="s">
        <v>34</v>
      </c>
      <c r="D36" s="1">
        <v>12000</v>
      </c>
    </row>
    <row r="37" spans="1:4" x14ac:dyDescent="0.3">
      <c r="A37" s="1" t="s">
        <v>106</v>
      </c>
      <c r="B37" s="1" t="s">
        <v>107</v>
      </c>
      <c r="C37" s="1" t="s">
        <v>39</v>
      </c>
      <c r="D37" s="1">
        <v>4500</v>
      </c>
    </row>
    <row r="38" spans="1:4" x14ac:dyDescent="0.3">
      <c r="A38" s="1" t="s">
        <v>108</v>
      </c>
      <c r="B38" s="1" t="s">
        <v>109</v>
      </c>
      <c r="C38" s="1" t="s">
        <v>42</v>
      </c>
      <c r="D38" s="1">
        <v>16000</v>
      </c>
    </row>
    <row r="39" spans="1:4" x14ac:dyDescent="0.3">
      <c r="A39" s="1" t="s">
        <v>110</v>
      </c>
      <c r="B39" s="1" t="s">
        <v>111</v>
      </c>
      <c r="C39" s="1" t="s">
        <v>51</v>
      </c>
      <c r="D39" s="1">
        <v>3500</v>
      </c>
    </row>
    <row r="40" spans="1:4" x14ac:dyDescent="0.3">
      <c r="A40" s="1" t="s">
        <v>112</v>
      </c>
      <c r="B40" s="1" t="s">
        <v>113</v>
      </c>
      <c r="C40" s="1" t="s">
        <v>34</v>
      </c>
      <c r="D40" s="1">
        <v>2500</v>
      </c>
    </row>
    <row r="41" spans="1:4" x14ac:dyDescent="0.3">
      <c r="A41" s="1" t="s">
        <v>114</v>
      </c>
      <c r="B41" s="1" t="s">
        <v>115</v>
      </c>
      <c r="C41" s="1" t="s">
        <v>39</v>
      </c>
      <c r="D41" s="1">
        <v>5000</v>
      </c>
    </row>
    <row r="42" spans="1:4" x14ac:dyDescent="0.3">
      <c r="A42" s="1" t="s">
        <v>116</v>
      </c>
      <c r="B42" s="1" t="s">
        <v>117</v>
      </c>
      <c r="C42" s="1" t="s">
        <v>42</v>
      </c>
      <c r="D42" s="1">
        <v>32000</v>
      </c>
    </row>
    <row r="43" spans="1:4" x14ac:dyDescent="0.3">
      <c r="A43" s="1" t="s">
        <v>118</v>
      </c>
      <c r="B43" s="1" t="s">
        <v>119</v>
      </c>
      <c r="C43" s="1" t="s">
        <v>34</v>
      </c>
      <c r="D43" s="1">
        <v>3000</v>
      </c>
    </row>
    <row r="44" spans="1:4" x14ac:dyDescent="0.3">
      <c r="A44" s="1" t="s">
        <v>120</v>
      </c>
      <c r="B44" s="1" t="s">
        <v>121</v>
      </c>
      <c r="C44" s="1" t="s">
        <v>39</v>
      </c>
      <c r="D44" s="1">
        <v>900</v>
      </c>
    </row>
    <row r="45" spans="1:4" x14ac:dyDescent="0.3">
      <c r="A45" s="1" t="s">
        <v>122</v>
      </c>
      <c r="B45" s="1" t="s">
        <v>123</v>
      </c>
      <c r="C45" s="1" t="s">
        <v>42</v>
      </c>
      <c r="D45" s="1">
        <v>7500</v>
      </c>
    </row>
    <row r="46" spans="1:4" x14ac:dyDescent="0.3">
      <c r="A46" s="1" t="s">
        <v>124</v>
      </c>
      <c r="B46" s="1" t="s">
        <v>125</v>
      </c>
      <c r="C46" s="1" t="s">
        <v>51</v>
      </c>
      <c r="D46" s="1">
        <v>1800</v>
      </c>
    </row>
    <row r="47" spans="1:4" x14ac:dyDescent="0.3">
      <c r="A47" s="1" t="s">
        <v>126</v>
      </c>
      <c r="B47" s="1" t="s">
        <v>127</v>
      </c>
      <c r="C47" s="1" t="s">
        <v>34</v>
      </c>
      <c r="D47" s="1">
        <v>85000</v>
      </c>
    </row>
    <row r="48" spans="1:4" x14ac:dyDescent="0.3">
      <c r="A48" s="1" t="s">
        <v>128</v>
      </c>
      <c r="B48" s="1" t="s">
        <v>129</v>
      </c>
      <c r="C48" s="1" t="s">
        <v>39</v>
      </c>
      <c r="D48" s="1">
        <v>3200</v>
      </c>
    </row>
    <row r="49" spans="1:4" x14ac:dyDescent="0.3">
      <c r="A49" s="1" t="s">
        <v>130</v>
      </c>
      <c r="B49" s="1" t="s">
        <v>131</v>
      </c>
      <c r="C49" s="1" t="s">
        <v>42</v>
      </c>
      <c r="D49" s="1">
        <v>29000</v>
      </c>
    </row>
    <row r="50" spans="1:4" x14ac:dyDescent="0.3">
      <c r="A50" s="1" t="s">
        <v>132</v>
      </c>
      <c r="B50" s="1" t="s">
        <v>133</v>
      </c>
      <c r="C50" s="1" t="s">
        <v>51</v>
      </c>
      <c r="D50" s="1">
        <v>4200</v>
      </c>
    </row>
    <row r="51" spans="1:4" x14ac:dyDescent="0.3">
      <c r="A51" s="1" t="s">
        <v>134</v>
      </c>
      <c r="B51" s="1" t="s">
        <v>135</v>
      </c>
      <c r="C51" s="1" t="s">
        <v>34</v>
      </c>
      <c r="D51" s="1">
        <v>45000</v>
      </c>
    </row>
  </sheetData>
  <mergeCells count="5">
    <mergeCell ref="G3:I3"/>
    <mergeCell ref="G13:H13"/>
    <mergeCell ref="G4:I4"/>
    <mergeCell ref="G5:I5"/>
    <mergeCell ref="G6:I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6137-58F2-47DC-874B-04E153149599}">
  <dimension ref="A1:N67"/>
  <sheetViews>
    <sheetView tabSelected="1" workbookViewId="0">
      <selection activeCell="M19" sqref="M19"/>
    </sheetView>
  </sheetViews>
  <sheetFormatPr defaultColWidth="13.21875" defaultRowHeight="13.2" customHeight="1" x14ac:dyDescent="0.3"/>
  <cols>
    <col min="1" max="1" width="14.33203125" bestFit="1" customWidth="1"/>
    <col min="2" max="2" width="17.6640625" bestFit="1" customWidth="1"/>
    <col min="3" max="3" width="13" bestFit="1" customWidth="1"/>
    <col min="5" max="5" width="13.21875" style="21"/>
    <col min="6" max="6" width="17.33203125" bestFit="1" customWidth="1"/>
  </cols>
  <sheetData>
    <row r="1" spans="1:14" ht="13.2" customHeight="1" x14ac:dyDescent="0.3">
      <c r="A1" s="18" t="s">
        <v>28</v>
      </c>
      <c r="B1" s="19" t="s">
        <v>29</v>
      </c>
      <c r="C1" s="19" t="s">
        <v>30</v>
      </c>
      <c r="D1" s="19" t="s">
        <v>31</v>
      </c>
      <c r="E1" s="19" t="s">
        <v>140</v>
      </c>
      <c r="F1" s="19" t="s">
        <v>142</v>
      </c>
      <c r="G1" s="20" t="s">
        <v>143</v>
      </c>
      <c r="H1" s="17" t="s">
        <v>136</v>
      </c>
      <c r="I1" s="15"/>
      <c r="J1" s="15"/>
      <c r="M1" s="15" t="s">
        <v>141</v>
      </c>
      <c r="N1" s="15"/>
    </row>
    <row r="2" spans="1:14" ht="13.2" customHeight="1" x14ac:dyDescent="0.3">
      <c r="A2" s="6" t="s">
        <v>32</v>
      </c>
      <c r="B2" s="3" t="s">
        <v>33</v>
      </c>
      <c r="C2" s="3" t="s">
        <v>34</v>
      </c>
      <c r="D2" s="3">
        <v>55000</v>
      </c>
      <c r="E2" s="3" t="str" cm="1">
        <f t="array" ref="E2">_xlfn.IFS(C2="Electronics","10%",C2="Clothing","5%",C2="Furniture","8%",C2="Accessories","6%")</f>
        <v>10%</v>
      </c>
      <c r="F2" s="22">
        <f>D2*E2</f>
        <v>5500</v>
      </c>
      <c r="G2" s="23">
        <f>D2-F2</f>
        <v>49500</v>
      </c>
      <c r="H2" s="17" t="s">
        <v>137</v>
      </c>
      <c r="I2" s="15"/>
      <c r="J2" s="15"/>
      <c r="M2" s="2" t="s">
        <v>30</v>
      </c>
      <c r="N2" s="2" t="s">
        <v>140</v>
      </c>
    </row>
    <row r="3" spans="1:14" ht="13.2" customHeight="1" x14ac:dyDescent="0.3">
      <c r="A3" s="6" t="s">
        <v>35</v>
      </c>
      <c r="B3" s="3" t="s">
        <v>36</v>
      </c>
      <c r="C3" s="3" t="s">
        <v>34</v>
      </c>
      <c r="D3" s="3">
        <v>20000</v>
      </c>
      <c r="E3" s="3" t="str" cm="1">
        <f t="array" ref="E3">_xlfn.IFS(C3="Electronics","10%",C3="Clothing","5%",C3="Furniture","8%",C3="Accessories","6%")</f>
        <v>10%</v>
      </c>
      <c r="F3" s="22">
        <f t="shared" ref="F3:F51" si="0">D3*E3</f>
        <v>2000</v>
      </c>
      <c r="G3" s="23">
        <f t="shared" ref="G3:G51" si="1">D3-F3</f>
        <v>18000</v>
      </c>
      <c r="H3" s="17" t="s">
        <v>138</v>
      </c>
      <c r="I3" s="15"/>
      <c r="J3" s="15"/>
      <c r="M3" s="1" t="s">
        <v>34</v>
      </c>
      <c r="N3" s="16">
        <v>0.1</v>
      </c>
    </row>
    <row r="4" spans="1:14" ht="13.2" customHeight="1" x14ac:dyDescent="0.3">
      <c r="A4" s="6" t="s">
        <v>37</v>
      </c>
      <c r="B4" s="3" t="s">
        <v>38</v>
      </c>
      <c r="C4" s="3" t="s">
        <v>39</v>
      </c>
      <c r="D4" s="3">
        <v>1500</v>
      </c>
      <c r="E4" s="3" t="str" cm="1">
        <f t="array" ref="E4">_xlfn.IFS(C4="Electronics","10%",C4="Clothing","5%",C4="Furniture","8%",C4="Accessories","6%")</f>
        <v>5%</v>
      </c>
      <c r="F4" s="22">
        <f t="shared" si="0"/>
        <v>75</v>
      </c>
      <c r="G4" s="23">
        <f t="shared" si="1"/>
        <v>1425</v>
      </c>
      <c r="H4" s="17" t="s">
        <v>139</v>
      </c>
      <c r="I4" s="15"/>
      <c r="J4" s="15"/>
      <c r="M4" s="1" t="s">
        <v>39</v>
      </c>
      <c r="N4" s="16">
        <v>0.05</v>
      </c>
    </row>
    <row r="5" spans="1:14" ht="13.2" customHeight="1" x14ac:dyDescent="0.3">
      <c r="A5" s="6" t="s">
        <v>40</v>
      </c>
      <c r="B5" s="3" t="s">
        <v>41</v>
      </c>
      <c r="C5" s="3" t="s">
        <v>42</v>
      </c>
      <c r="D5" s="3">
        <v>7000</v>
      </c>
      <c r="E5" s="3" t="str" cm="1">
        <f t="array" ref="E5">_xlfn.IFS(C5="Electronics","10%",C5="Clothing","5%",C5="Furniture","8%",C5="Accessories","6%")</f>
        <v>8%</v>
      </c>
      <c r="F5" s="22">
        <f t="shared" si="0"/>
        <v>560</v>
      </c>
      <c r="G5" s="23">
        <f t="shared" si="1"/>
        <v>6440</v>
      </c>
      <c r="M5" s="1" t="s">
        <v>42</v>
      </c>
      <c r="N5" s="16">
        <v>0.08</v>
      </c>
    </row>
    <row r="6" spans="1:14" ht="13.2" customHeight="1" x14ac:dyDescent="0.3">
      <c r="A6" s="6" t="s">
        <v>43</v>
      </c>
      <c r="B6" s="3" t="s">
        <v>44</v>
      </c>
      <c r="C6" s="3" t="s">
        <v>39</v>
      </c>
      <c r="D6" s="3">
        <v>2500</v>
      </c>
      <c r="E6" s="3" t="str" cm="1">
        <f t="array" ref="E6">_xlfn.IFS(C6="Electronics","10%",C6="Clothing","5%",C6="Furniture","8%",C6="Accessories","6%")</f>
        <v>5%</v>
      </c>
      <c r="F6" s="22">
        <f t="shared" si="0"/>
        <v>125</v>
      </c>
      <c r="G6" s="23">
        <f t="shared" si="1"/>
        <v>2375</v>
      </c>
      <c r="M6" s="1" t="s">
        <v>51</v>
      </c>
      <c r="N6" s="16">
        <v>0.06</v>
      </c>
    </row>
    <row r="7" spans="1:14" ht="13.2" customHeight="1" x14ac:dyDescent="0.3">
      <c r="A7" s="6" t="s">
        <v>45</v>
      </c>
      <c r="B7" s="3" t="s">
        <v>46</v>
      </c>
      <c r="C7" s="3" t="s">
        <v>34</v>
      </c>
      <c r="D7" s="3">
        <v>40000</v>
      </c>
      <c r="E7" s="3" t="str" cm="1">
        <f t="array" ref="E7">_xlfn.IFS(C7="Electronics","10%",C7="Clothing","5%",C7="Furniture","8%",C7="Accessories","6%")</f>
        <v>10%</v>
      </c>
      <c r="F7" s="22">
        <f t="shared" si="0"/>
        <v>4000</v>
      </c>
      <c r="G7" s="23">
        <f t="shared" si="1"/>
        <v>36000</v>
      </c>
    </row>
    <row r="8" spans="1:14" ht="13.2" customHeight="1" x14ac:dyDescent="0.3">
      <c r="A8" s="6" t="s">
        <v>47</v>
      </c>
      <c r="B8" s="3" t="s">
        <v>48</v>
      </c>
      <c r="C8" s="3" t="s">
        <v>42</v>
      </c>
      <c r="D8" s="3">
        <v>30000</v>
      </c>
      <c r="E8" s="3" t="str" cm="1">
        <f t="array" ref="E8">_xlfn.IFS(C8="Electronics","10%",C8="Clothing","5%",C8="Furniture","8%",C8="Accessories","6%")</f>
        <v>8%</v>
      </c>
      <c r="F8" s="22">
        <f t="shared" si="0"/>
        <v>2400</v>
      </c>
      <c r="G8" s="23">
        <f t="shared" si="1"/>
        <v>27600</v>
      </c>
    </row>
    <row r="9" spans="1:14" ht="13.2" customHeight="1" x14ac:dyDescent="0.3">
      <c r="A9" s="6" t="s">
        <v>49</v>
      </c>
      <c r="B9" s="3" t="s">
        <v>50</v>
      </c>
      <c r="C9" s="3" t="s">
        <v>51</v>
      </c>
      <c r="D9" s="3">
        <v>3500</v>
      </c>
      <c r="E9" s="3" t="str" cm="1">
        <f t="array" ref="E9">_xlfn.IFS(C9="Electronics","10%",C9="Clothing","5%",C9="Furniture","8%",C9="Accessories","6%")</f>
        <v>6%</v>
      </c>
      <c r="F9" s="22">
        <f t="shared" si="0"/>
        <v>210</v>
      </c>
      <c r="G9" s="23">
        <f t="shared" si="1"/>
        <v>3290</v>
      </c>
      <c r="I9" s="17" t="s">
        <v>136</v>
      </c>
      <c r="J9" s="15"/>
      <c r="K9" s="15"/>
    </row>
    <row r="10" spans="1:14" ht="13.2" customHeight="1" x14ac:dyDescent="0.3">
      <c r="A10" s="6" t="s">
        <v>52</v>
      </c>
      <c r="B10" s="3" t="s">
        <v>53</v>
      </c>
      <c r="C10" s="3" t="s">
        <v>51</v>
      </c>
      <c r="D10" s="3">
        <v>2000</v>
      </c>
      <c r="E10" s="3" t="str" cm="1">
        <f t="array" ref="E10">_xlfn.IFS(C10="Electronics","10%",C10="Clothing","5%",C10="Furniture","8%",C10="Accessories","6%")</f>
        <v>6%</v>
      </c>
      <c r="F10" s="22">
        <f t="shared" si="0"/>
        <v>120</v>
      </c>
      <c r="G10" s="23">
        <f t="shared" si="1"/>
        <v>1880</v>
      </c>
    </row>
    <row r="11" spans="1:14" ht="13.2" customHeight="1" x14ac:dyDescent="0.3">
      <c r="A11" s="6" t="s">
        <v>54</v>
      </c>
      <c r="B11" s="3" t="s">
        <v>55</v>
      </c>
      <c r="C11" s="3" t="s">
        <v>39</v>
      </c>
      <c r="D11" s="3">
        <v>2200</v>
      </c>
      <c r="E11" s="3" t="str" cm="1">
        <f t="array" ref="E11">_xlfn.IFS(C11="Electronics","10%",C11="Clothing","5%",C11="Furniture","8%",C11="Accessories","6%")</f>
        <v>5%</v>
      </c>
      <c r="F11" s="22">
        <f t="shared" si="0"/>
        <v>110</v>
      </c>
      <c r="G11" s="23">
        <f t="shared" si="1"/>
        <v>2090</v>
      </c>
      <c r="I11" s="28" t="s">
        <v>30</v>
      </c>
      <c r="J11" s="28" t="s">
        <v>140</v>
      </c>
      <c r="K11" s="28" t="s">
        <v>142</v>
      </c>
    </row>
    <row r="12" spans="1:14" ht="13.2" customHeight="1" x14ac:dyDescent="0.3">
      <c r="A12" s="6" t="s">
        <v>56</v>
      </c>
      <c r="B12" s="3" t="s">
        <v>57</v>
      </c>
      <c r="C12" s="3" t="s">
        <v>34</v>
      </c>
      <c r="D12" s="3">
        <v>1200</v>
      </c>
      <c r="E12" s="3" t="str" cm="1">
        <f t="array" ref="E12">_xlfn.IFS(C12="Electronics","10%",C12="Clothing","5%",C12="Furniture","8%",C12="Accessories","6%")</f>
        <v>10%</v>
      </c>
      <c r="F12" s="22">
        <f t="shared" si="0"/>
        <v>120</v>
      </c>
      <c r="G12" s="23">
        <f t="shared" si="1"/>
        <v>1080</v>
      </c>
      <c r="I12" s="29" t="s">
        <v>39</v>
      </c>
      <c r="J12" s="4" t="str">
        <f>VLOOKUP(I12,Table1[[#All],[Category]:[Discount Price]],3,0)</f>
        <v>5%</v>
      </c>
      <c r="K12" s="4">
        <f>SUMIF(Table1[Category],I12,Table1[Discount Price])</f>
        <v>1485</v>
      </c>
    </row>
    <row r="13" spans="1:14" ht="13.2" customHeight="1" x14ac:dyDescent="0.3">
      <c r="A13" s="6" t="s">
        <v>58</v>
      </c>
      <c r="B13" s="3" t="s">
        <v>59</v>
      </c>
      <c r="C13" s="3" t="s">
        <v>34</v>
      </c>
      <c r="D13" s="3">
        <v>800</v>
      </c>
      <c r="E13" s="3" t="str" cm="1">
        <f t="array" ref="E13">_xlfn.IFS(C13="Electronics","10%",C13="Clothing","5%",C13="Furniture","8%",C13="Accessories","6%")</f>
        <v>10%</v>
      </c>
      <c r="F13" s="22">
        <f t="shared" si="0"/>
        <v>80</v>
      </c>
      <c r="G13" s="23">
        <f t="shared" si="1"/>
        <v>720</v>
      </c>
    </row>
    <row r="14" spans="1:14" ht="13.2" customHeight="1" x14ac:dyDescent="0.3">
      <c r="A14" s="6" t="s">
        <v>60</v>
      </c>
      <c r="B14" s="3" t="s">
        <v>61</v>
      </c>
      <c r="C14" s="3" t="s">
        <v>39</v>
      </c>
      <c r="D14" s="3">
        <v>3500</v>
      </c>
      <c r="E14" s="3" t="str" cm="1">
        <f t="array" ref="E14">_xlfn.IFS(C14="Electronics","10%",C14="Clothing","5%",C14="Furniture","8%",C14="Accessories","6%")</f>
        <v>5%</v>
      </c>
      <c r="F14" s="22">
        <f t="shared" si="0"/>
        <v>175</v>
      </c>
      <c r="G14" s="23">
        <f t="shared" si="1"/>
        <v>3325</v>
      </c>
    </row>
    <row r="15" spans="1:14" ht="13.2" customHeight="1" x14ac:dyDescent="0.3">
      <c r="A15" s="6" t="s">
        <v>62</v>
      </c>
      <c r="B15" s="3" t="s">
        <v>63</v>
      </c>
      <c r="C15" s="3" t="s">
        <v>42</v>
      </c>
      <c r="D15" s="3">
        <v>25000</v>
      </c>
      <c r="E15" s="3" t="str" cm="1">
        <f t="array" ref="E15">_xlfn.IFS(C15="Electronics","10%",C15="Clothing","5%",C15="Furniture","8%",C15="Accessories","6%")</f>
        <v>8%</v>
      </c>
      <c r="F15" s="22">
        <f t="shared" si="0"/>
        <v>2000</v>
      </c>
      <c r="G15" s="23">
        <f t="shared" si="1"/>
        <v>23000</v>
      </c>
    </row>
    <row r="16" spans="1:14" ht="13.2" customHeight="1" x14ac:dyDescent="0.3">
      <c r="A16" s="6" t="s">
        <v>64</v>
      </c>
      <c r="B16" s="3" t="s">
        <v>65</v>
      </c>
      <c r="C16" s="3" t="s">
        <v>51</v>
      </c>
      <c r="D16" s="3">
        <v>900</v>
      </c>
      <c r="E16" s="3" t="str" cm="1">
        <f t="array" ref="E16">_xlfn.IFS(C16="Electronics","10%",C16="Clothing","5%",C16="Furniture","8%",C16="Accessories","6%")</f>
        <v>6%</v>
      </c>
      <c r="F16" s="22">
        <f t="shared" si="0"/>
        <v>54</v>
      </c>
      <c r="G16" s="23">
        <f t="shared" si="1"/>
        <v>846</v>
      </c>
      <c r="I16" s="15" t="s">
        <v>137</v>
      </c>
      <c r="J16" s="15"/>
      <c r="K16" s="15"/>
    </row>
    <row r="17" spans="1:13" ht="13.2" customHeight="1" x14ac:dyDescent="0.3">
      <c r="A17" s="6" t="s">
        <v>66</v>
      </c>
      <c r="B17" s="3" t="s">
        <v>67</v>
      </c>
      <c r="C17" s="3" t="s">
        <v>34</v>
      </c>
      <c r="D17" s="3">
        <v>2500</v>
      </c>
      <c r="E17" s="3" t="str" cm="1">
        <f t="array" ref="E17">_xlfn.IFS(C17="Electronics","10%",C17="Clothing","5%",C17="Furniture","8%",C17="Accessories","6%")</f>
        <v>10%</v>
      </c>
      <c r="F17" s="22">
        <f t="shared" si="0"/>
        <v>250</v>
      </c>
      <c r="G17" s="23">
        <f t="shared" si="1"/>
        <v>2250</v>
      </c>
      <c r="I17" s="32" t="s">
        <v>144</v>
      </c>
      <c r="J17" s="4"/>
      <c r="K17" s="4"/>
    </row>
    <row r="18" spans="1:13" ht="13.2" customHeight="1" x14ac:dyDescent="0.3">
      <c r="A18" s="6" t="s">
        <v>68</v>
      </c>
      <c r="B18" s="3" t="s">
        <v>69</v>
      </c>
      <c r="C18" s="3" t="s">
        <v>39</v>
      </c>
      <c r="D18" s="3">
        <v>1200</v>
      </c>
      <c r="E18" s="3" t="str" cm="1">
        <f t="array" ref="E18">_xlfn.IFS(C18="Electronics","10%",C18="Clothing","5%",C18="Furniture","8%",C18="Accessories","6%")</f>
        <v>5%</v>
      </c>
      <c r="F18" s="22">
        <f t="shared" si="0"/>
        <v>60</v>
      </c>
      <c r="G18" s="23">
        <f t="shared" si="1"/>
        <v>1140</v>
      </c>
    </row>
    <row r="19" spans="1:13" ht="13.2" customHeight="1" x14ac:dyDescent="0.3">
      <c r="A19" s="6" t="s">
        <v>70</v>
      </c>
      <c r="B19" s="3" t="s">
        <v>71</v>
      </c>
      <c r="C19" s="3" t="s">
        <v>42</v>
      </c>
      <c r="D19" s="3">
        <v>4500</v>
      </c>
      <c r="E19" s="3" t="str" cm="1">
        <f t="array" ref="E19">_xlfn.IFS(C19="Electronics","10%",C19="Clothing","5%",C19="Furniture","8%",C19="Accessories","6%")</f>
        <v>8%</v>
      </c>
      <c r="F19" s="22">
        <f t="shared" si="0"/>
        <v>360</v>
      </c>
      <c r="G19" s="23">
        <f t="shared" si="1"/>
        <v>4140</v>
      </c>
      <c r="I19" s="17" t="s">
        <v>138</v>
      </c>
      <c r="J19" s="15"/>
      <c r="K19" s="15"/>
      <c r="M19" t="s">
        <v>145</v>
      </c>
    </row>
    <row r="20" spans="1:13" ht="13.2" customHeight="1" x14ac:dyDescent="0.3">
      <c r="A20" s="6" t="s">
        <v>72</v>
      </c>
      <c r="B20" s="3" t="s">
        <v>73</v>
      </c>
      <c r="C20" s="3" t="s">
        <v>51</v>
      </c>
      <c r="D20" s="3">
        <v>1500</v>
      </c>
      <c r="E20" s="3" t="str" cm="1">
        <f t="array" ref="E20">_xlfn.IFS(C20="Electronics","10%",C20="Clothing","5%",C20="Furniture","8%",C20="Accessories","6%")</f>
        <v>6%</v>
      </c>
      <c r="F20" s="22">
        <f t="shared" si="0"/>
        <v>90</v>
      </c>
      <c r="G20" s="23">
        <f t="shared" si="1"/>
        <v>1410</v>
      </c>
    </row>
    <row r="21" spans="1:13" ht="13.2" customHeight="1" x14ac:dyDescent="0.3">
      <c r="A21" s="6" t="s">
        <v>74</v>
      </c>
      <c r="B21" s="3" t="s">
        <v>75</v>
      </c>
      <c r="C21" s="3" t="s">
        <v>34</v>
      </c>
      <c r="D21" s="3">
        <v>15000</v>
      </c>
      <c r="E21" s="3" t="str" cm="1">
        <f t="array" ref="E21">_xlfn.IFS(C21="Electronics","10%",C21="Clothing","5%",C21="Furniture","8%",C21="Accessories","6%")</f>
        <v>10%</v>
      </c>
      <c r="F21" s="22">
        <f t="shared" si="0"/>
        <v>1500</v>
      </c>
      <c r="G21" s="23">
        <f t="shared" si="1"/>
        <v>13500</v>
      </c>
      <c r="I21" s="28" t="s">
        <v>28</v>
      </c>
      <c r="J21" s="28" t="s">
        <v>29</v>
      </c>
    </row>
    <row r="22" spans="1:13" ht="13.2" customHeight="1" x14ac:dyDescent="0.3">
      <c r="A22" s="6" t="s">
        <v>76</v>
      </c>
      <c r="B22" s="3" t="s">
        <v>77</v>
      </c>
      <c r="C22" s="3" t="s">
        <v>34</v>
      </c>
      <c r="D22" s="3">
        <v>22000</v>
      </c>
      <c r="E22" s="3" t="str" cm="1">
        <f t="array" ref="E22">_xlfn.IFS(C22="Electronics","10%",C22="Clothing","5%",C22="Furniture","8%",C22="Accessories","6%")</f>
        <v>10%</v>
      </c>
      <c r="F22" s="22">
        <f t="shared" si="0"/>
        <v>2200</v>
      </c>
      <c r="G22" s="23">
        <f t="shared" si="1"/>
        <v>19800</v>
      </c>
      <c r="I22" s="33" t="s">
        <v>35</v>
      </c>
      <c r="J22" t="str">
        <f>VLOOKUP(I22,Table1[],2,0)</f>
        <v>Mobile</v>
      </c>
    </row>
    <row r="23" spans="1:13" ht="13.2" customHeight="1" x14ac:dyDescent="0.3">
      <c r="A23" s="6" t="s">
        <v>78</v>
      </c>
      <c r="B23" s="3" t="s">
        <v>79</v>
      </c>
      <c r="C23" s="3" t="s">
        <v>39</v>
      </c>
      <c r="D23" s="3">
        <v>2800</v>
      </c>
      <c r="E23" s="3" t="str" cm="1">
        <f t="array" ref="E23">_xlfn.IFS(C23="Electronics","10%",C23="Clothing","5%",C23="Furniture","8%",C23="Accessories","6%")</f>
        <v>5%</v>
      </c>
      <c r="F23" s="22">
        <f t="shared" si="0"/>
        <v>140</v>
      </c>
      <c r="G23" s="23">
        <f t="shared" si="1"/>
        <v>2660</v>
      </c>
    </row>
    <row r="24" spans="1:13" ht="13.2" customHeight="1" x14ac:dyDescent="0.3">
      <c r="A24" s="6" t="s">
        <v>80</v>
      </c>
      <c r="B24" s="3" t="s">
        <v>81</v>
      </c>
      <c r="C24" s="3" t="s">
        <v>42</v>
      </c>
      <c r="D24" s="3">
        <v>18000</v>
      </c>
      <c r="E24" s="3" t="str" cm="1">
        <f t="array" ref="E24">_xlfn.IFS(C24="Electronics","10%",C24="Clothing","5%",C24="Furniture","8%",C24="Accessories","6%")</f>
        <v>8%</v>
      </c>
      <c r="F24" s="22">
        <f t="shared" si="0"/>
        <v>1440</v>
      </c>
      <c r="G24" s="23">
        <f t="shared" si="1"/>
        <v>16560</v>
      </c>
      <c r="I24" s="17" t="s">
        <v>139</v>
      </c>
      <c r="J24" s="15"/>
      <c r="K24" s="15"/>
    </row>
    <row r="25" spans="1:13" ht="13.2" customHeight="1" x14ac:dyDescent="0.3">
      <c r="A25" s="6" t="s">
        <v>82</v>
      </c>
      <c r="B25" s="3" t="s">
        <v>83</v>
      </c>
      <c r="C25" s="3" t="s">
        <v>51</v>
      </c>
      <c r="D25" s="3">
        <v>2000</v>
      </c>
      <c r="E25" s="3" t="str" cm="1">
        <f t="array" ref="E25">_xlfn.IFS(C25="Electronics","10%",C25="Clothing","5%",C25="Furniture","8%",C25="Accessories","6%")</f>
        <v>6%</v>
      </c>
      <c r="F25" s="22">
        <f t="shared" si="0"/>
        <v>120</v>
      </c>
      <c r="G25" s="23">
        <f t="shared" si="1"/>
        <v>1880</v>
      </c>
    </row>
    <row r="26" spans="1:13" ht="13.2" customHeight="1" x14ac:dyDescent="0.3">
      <c r="A26" s="6" t="s">
        <v>84</v>
      </c>
      <c r="B26" s="3" t="s">
        <v>85</v>
      </c>
      <c r="C26" s="3" t="s">
        <v>34</v>
      </c>
      <c r="D26" s="3">
        <v>9000</v>
      </c>
      <c r="E26" s="3" t="str" cm="1">
        <f t="array" ref="E26">_xlfn.IFS(C26="Electronics","10%",C26="Clothing","5%",C26="Furniture","8%",C26="Accessories","6%")</f>
        <v>10%</v>
      </c>
      <c r="F26" s="22">
        <f t="shared" si="0"/>
        <v>900</v>
      </c>
      <c r="G26" s="23">
        <f t="shared" si="1"/>
        <v>8100</v>
      </c>
      <c r="I26" s="28" t="s">
        <v>28</v>
      </c>
      <c r="J26" s="28" t="s">
        <v>30</v>
      </c>
    </row>
    <row r="27" spans="1:13" ht="13.2" customHeight="1" x14ac:dyDescent="0.3">
      <c r="A27" s="6" t="s">
        <v>86</v>
      </c>
      <c r="B27" s="3" t="s">
        <v>87</v>
      </c>
      <c r="C27" s="3" t="s">
        <v>34</v>
      </c>
      <c r="D27" s="3">
        <v>35000</v>
      </c>
      <c r="E27" s="3" t="str" cm="1">
        <f t="array" ref="E27">_xlfn.IFS(C27="Electronics","10%",C27="Clothing","5%",C27="Furniture","8%",C27="Accessories","6%")</f>
        <v>10%</v>
      </c>
      <c r="F27" s="22">
        <f t="shared" si="0"/>
        <v>3500</v>
      </c>
      <c r="G27" s="23">
        <f t="shared" si="1"/>
        <v>31500</v>
      </c>
      <c r="I27" s="29" t="s">
        <v>37</v>
      </c>
      <c r="J27" t="str">
        <f>VLOOKUP(I27,Table1[],3,0)</f>
        <v>Clothing</v>
      </c>
    </row>
    <row r="28" spans="1:13" ht="13.2" customHeight="1" x14ac:dyDescent="0.3">
      <c r="A28" s="6" t="s">
        <v>88</v>
      </c>
      <c r="B28" s="3" t="s">
        <v>89</v>
      </c>
      <c r="C28" s="3" t="s">
        <v>39</v>
      </c>
      <c r="D28" s="3">
        <v>2000</v>
      </c>
      <c r="E28" s="3" t="str" cm="1">
        <f t="array" ref="E28">_xlfn.IFS(C28="Electronics","10%",C28="Clothing","5%",C28="Furniture","8%",C28="Accessories","6%")</f>
        <v>5%</v>
      </c>
      <c r="F28" s="22">
        <f t="shared" si="0"/>
        <v>100</v>
      </c>
      <c r="G28" s="23">
        <f t="shared" si="1"/>
        <v>1900</v>
      </c>
    </row>
    <row r="29" spans="1:13" ht="13.2" customHeight="1" x14ac:dyDescent="0.3">
      <c r="A29" s="6" t="s">
        <v>90</v>
      </c>
      <c r="B29" s="3" t="s">
        <v>91</v>
      </c>
      <c r="C29" s="3" t="s">
        <v>42</v>
      </c>
      <c r="D29" s="3">
        <v>27000</v>
      </c>
      <c r="E29" s="3" t="str" cm="1">
        <f t="array" ref="E29">_xlfn.IFS(C29="Electronics","10%",C29="Clothing","5%",C29="Furniture","8%",C29="Accessories","6%")</f>
        <v>8%</v>
      </c>
      <c r="F29" s="22">
        <f t="shared" si="0"/>
        <v>2160</v>
      </c>
      <c r="G29" s="23">
        <f t="shared" si="1"/>
        <v>24840</v>
      </c>
    </row>
    <row r="30" spans="1:13" ht="13.2" customHeight="1" x14ac:dyDescent="0.3">
      <c r="A30" s="6" t="s">
        <v>92</v>
      </c>
      <c r="B30" s="3" t="s">
        <v>93</v>
      </c>
      <c r="C30" s="3" t="s">
        <v>51</v>
      </c>
      <c r="D30" s="3">
        <v>700</v>
      </c>
      <c r="E30" s="3" t="str" cm="1">
        <f t="array" ref="E30">_xlfn.IFS(C30="Electronics","10%",C30="Clothing","5%",C30="Furniture","8%",C30="Accessories","6%")</f>
        <v>6%</v>
      </c>
      <c r="F30" s="22">
        <f t="shared" si="0"/>
        <v>42</v>
      </c>
      <c r="G30" s="23">
        <f t="shared" si="1"/>
        <v>658</v>
      </c>
    </row>
    <row r="31" spans="1:13" ht="13.2" customHeight="1" x14ac:dyDescent="0.3">
      <c r="A31" s="6" t="s">
        <v>94</v>
      </c>
      <c r="B31" s="3" t="s">
        <v>95</v>
      </c>
      <c r="C31" s="3" t="s">
        <v>34</v>
      </c>
      <c r="D31" s="3">
        <v>6000</v>
      </c>
      <c r="E31" s="3" t="str" cm="1">
        <f t="array" ref="E31">_xlfn.IFS(C31="Electronics","10%",C31="Clothing","5%",C31="Furniture","8%",C31="Accessories","6%")</f>
        <v>10%</v>
      </c>
      <c r="F31" s="22">
        <f t="shared" si="0"/>
        <v>600</v>
      </c>
      <c r="G31" s="23">
        <f t="shared" si="1"/>
        <v>5400</v>
      </c>
    </row>
    <row r="32" spans="1:13" ht="13.2" customHeight="1" x14ac:dyDescent="0.3">
      <c r="A32" s="6" t="s">
        <v>96</v>
      </c>
      <c r="B32" s="3" t="s">
        <v>97</v>
      </c>
      <c r="C32" s="3" t="s">
        <v>34</v>
      </c>
      <c r="D32" s="3">
        <v>1500</v>
      </c>
      <c r="E32" s="3" t="str" cm="1">
        <f t="array" ref="E32">_xlfn.IFS(C32="Electronics","10%",C32="Clothing","5%",C32="Furniture","8%",C32="Accessories","6%")</f>
        <v>10%</v>
      </c>
      <c r="F32" s="22">
        <f t="shared" si="0"/>
        <v>150</v>
      </c>
      <c r="G32" s="23">
        <f t="shared" si="1"/>
        <v>1350</v>
      </c>
    </row>
    <row r="33" spans="1:7" ht="13.2" customHeight="1" x14ac:dyDescent="0.3">
      <c r="A33" s="6" t="s">
        <v>98</v>
      </c>
      <c r="B33" s="3" t="s">
        <v>99</v>
      </c>
      <c r="C33" s="3" t="s">
        <v>39</v>
      </c>
      <c r="D33" s="3">
        <v>400</v>
      </c>
      <c r="E33" s="3" t="str" cm="1">
        <f t="array" ref="E33">_xlfn.IFS(C33="Electronics","10%",C33="Clothing","5%",C33="Furniture","8%",C33="Accessories","6%")</f>
        <v>5%</v>
      </c>
      <c r="F33" s="22">
        <f t="shared" si="0"/>
        <v>20</v>
      </c>
      <c r="G33" s="23">
        <f t="shared" si="1"/>
        <v>380</v>
      </c>
    </row>
    <row r="34" spans="1:7" ht="13.2" customHeight="1" x14ac:dyDescent="0.3">
      <c r="A34" s="6" t="s">
        <v>100</v>
      </c>
      <c r="B34" s="3" t="s">
        <v>101</v>
      </c>
      <c r="C34" s="3" t="s">
        <v>42</v>
      </c>
      <c r="D34" s="3">
        <v>8000</v>
      </c>
      <c r="E34" s="3" t="str" cm="1">
        <f t="array" ref="E34">_xlfn.IFS(C34="Electronics","10%",C34="Clothing","5%",C34="Furniture","8%",C34="Accessories","6%")</f>
        <v>8%</v>
      </c>
      <c r="F34" s="22">
        <f t="shared" si="0"/>
        <v>640</v>
      </c>
      <c r="G34" s="23">
        <f t="shared" si="1"/>
        <v>7360</v>
      </c>
    </row>
    <row r="35" spans="1:7" ht="13.2" customHeight="1" x14ac:dyDescent="0.3">
      <c r="A35" s="6" t="s">
        <v>102</v>
      </c>
      <c r="B35" s="3" t="s">
        <v>103</v>
      </c>
      <c r="C35" s="3" t="s">
        <v>51</v>
      </c>
      <c r="D35" s="3">
        <v>1200</v>
      </c>
      <c r="E35" s="3" t="str" cm="1">
        <f t="array" ref="E35">_xlfn.IFS(C35="Electronics","10%",C35="Clothing","5%",C35="Furniture","8%",C35="Accessories","6%")</f>
        <v>6%</v>
      </c>
      <c r="F35" s="22">
        <f t="shared" si="0"/>
        <v>72</v>
      </c>
      <c r="G35" s="23">
        <f t="shared" si="1"/>
        <v>1128</v>
      </c>
    </row>
    <row r="36" spans="1:7" ht="13.2" customHeight="1" x14ac:dyDescent="0.3">
      <c r="A36" s="6" t="s">
        <v>104</v>
      </c>
      <c r="B36" s="3" t="s">
        <v>105</v>
      </c>
      <c r="C36" s="3" t="s">
        <v>34</v>
      </c>
      <c r="D36" s="3">
        <v>12000</v>
      </c>
      <c r="E36" s="3" t="str" cm="1">
        <f t="array" ref="E36">_xlfn.IFS(C36="Electronics","10%",C36="Clothing","5%",C36="Furniture","8%",C36="Accessories","6%")</f>
        <v>10%</v>
      </c>
      <c r="F36" s="22">
        <f t="shared" si="0"/>
        <v>1200</v>
      </c>
      <c r="G36" s="23">
        <f t="shared" si="1"/>
        <v>10800</v>
      </c>
    </row>
    <row r="37" spans="1:7" ht="13.2" customHeight="1" x14ac:dyDescent="0.3">
      <c r="A37" s="6" t="s">
        <v>106</v>
      </c>
      <c r="B37" s="3" t="s">
        <v>107</v>
      </c>
      <c r="C37" s="3" t="s">
        <v>39</v>
      </c>
      <c r="D37" s="3">
        <v>4500</v>
      </c>
      <c r="E37" s="3" t="str" cm="1">
        <f t="array" ref="E37">_xlfn.IFS(C37="Electronics","10%",C37="Clothing","5%",C37="Furniture","8%",C37="Accessories","6%")</f>
        <v>5%</v>
      </c>
      <c r="F37" s="22">
        <f t="shared" si="0"/>
        <v>225</v>
      </c>
      <c r="G37" s="23">
        <f t="shared" si="1"/>
        <v>4275</v>
      </c>
    </row>
    <row r="38" spans="1:7" ht="13.2" customHeight="1" x14ac:dyDescent="0.3">
      <c r="A38" s="6" t="s">
        <v>108</v>
      </c>
      <c r="B38" s="3" t="s">
        <v>109</v>
      </c>
      <c r="C38" s="3" t="s">
        <v>42</v>
      </c>
      <c r="D38" s="3">
        <v>16000</v>
      </c>
      <c r="E38" s="3" t="str" cm="1">
        <f t="array" ref="E38">_xlfn.IFS(C38="Electronics","10%",C38="Clothing","5%",C38="Furniture","8%",C38="Accessories","6%")</f>
        <v>8%</v>
      </c>
      <c r="F38" s="22">
        <f t="shared" si="0"/>
        <v>1280</v>
      </c>
      <c r="G38" s="23">
        <f t="shared" si="1"/>
        <v>14720</v>
      </c>
    </row>
    <row r="39" spans="1:7" ht="13.2" customHeight="1" x14ac:dyDescent="0.3">
      <c r="A39" s="6" t="s">
        <v>110</v>
      </c>
      <c r="B39" s="3" t="s">
        <v>111</v>
      </c>
      <c r="C39" s="3" t="s">
        <v>51</v>
      </c>
      <c r="D39" s="3">
        <v>3500</v>
      </c>
      <c r="E39" s="3" t="str" cm="1">
        <f t="array" ref="E39">_xlfn.IFS(C39="Electronics","10%",C39="Clothing","5%",C39="Furniture","8%",C39="Accessories","6%")</f>
        <v>6%</v>
      </c>
      <c r="F39" s="22">
        <f t="shared" si="0"/>
        <v>210</v>
      </c>
      <c r="G39" s="23">
        <f t="shared" si="1"/>
        <v>3290</v>
      </c>
    </row>
    <row r="40" spans="1:7" ht="13.2" customHeight="1" x14ac:dyDescent="0.3">
      <c r="A40" s="6" t="s">
        <v>112</v>
      </c>
      <c r="B40" s="3" t="s">
        <v>113</v>
      </c>
      <c r="C40" s="3" t="s">
        <v>34</v>
      </c>
      <c r="D40" s="3">
        <v>2500</v>
      </c>
      <c r="E40" s="3" t="str" cm="1">
        <f t="array" ref="E40">_xlfn.IFS(C40="Electronics","10%",C40="Clothing","5%",C40="Furniture","8%",C40="Accessories","6%")</f>
        <v>10%</v>
      </c>
      <c r="F40" s="22">
        <f t="shared" si="0"/>
        <v>250</v>
      </c>
      <c r="G40" s="23">
        <f t="shared" si="1"/>
        <v>2250</v>
      </c>
    </row>
    <row r="41" spans="1:7" ht="13.2" customHeight="1" x14ac:dyDescent="0.3">
      <c r="A41" s="6" t="s">
        <v>114</v>
      </c>
      <c r="B41" s="3" t="s">
        <v>115</v>
      </c>
      <c r="C41" s="3" t="s">
        <v>39</v>
      </c>
      <c r="D41" s="3">
        <v>5000</v>
      </c>
      <c r="E41" s="3" t="str" cm="1">
        <f t="array" ref="E41">_xlfn.IFS(C41="Electronics","10%",C41="Clothing","5%",C41="Furniture","8%",C41="Accessories","6%")</f>
        <v>5%</v>
      </c>
      <c r="F41" s="22">
        <f t="shared" si="0"/>
        <v>250</v>
      </c>
      <c r="G41" s="23">
        <f t="shared" si="1"/>
        <v>4750</v>
      </c>
    </row>
    <row r="42" spans="1:7" ht="13.2" customHeight="1" x14ac:dyDescent="0.3">
      <c r="A42" s="6" t="s">
        <v>116</v>
      </c>
      <c r="B42" s="3" t="s">
        <v>117</v>
      </c>
      <c r="C42" s="3" t="s">
        <v>42</v>
      </c>
      <c r="D42" s="3">
        <v>32000</v>
      </c>
      <c r="E42" s="3" t="str" cm="1">
        <f t="array" ref="E42">_xlfn.IFS(C42="Electronics","10%",C42="Clothing","5%",C42="Furniture","8%",C42="Accessories","6%")</f>
        <v>8%</v>
      </c>
      <c r="F42" s="22">
        <f t="shared" si="0"/>
        <v>2560</v>
      </c>
      <c r="G42" s="23">
        <f t="shared" si="1"/>
        <v>29440</v>
      </c>
    </row>
    <row r="43" spans="1:7" ht="13.2" customHeight="1" x14ac:dyDescent="0.3">
      <c r="A43" s="6" t="s">
        <v>118</v>
      </c>
      <c r="B43" s="3" t="s">
        <v>119</v>
      </c>
      <c r="C43" s="3" t="s">
        <v>34</v>
      </c>
      <c r="D43" s="3">
        <v>3000</v>
      </c>
      <c r="E43" s="3" t="str" cm="1">
        <f t="array" ref="E43">_xlfn.IFS(C43="Electronics","10%",C43="Clothing","5%",C43="Furniture","8%",C43="Accessories","6%")</f>
        <v>10%</v>
      </c>
      <c r="F43" s="22">
        <f t="shared" si="0"/>
        <v>300</v>
      </c>
      <c r="G43" s="23">
        <f t="shared" si="1"/>
        <v>2700</v>
      </c>
    </row>
    <row r="44" spans="1:7" ht="13.2" customHeight="1" x14ac:dyDescent="0.3">
      <c r="A44" s="6" t="s">
        <v>120</v>
      </c>
      <c r="B44" s="3" t="s">
        <v>121</v>
      </c>
      <c r="C44" s="3" t="s">
        <v>39</v>
      </c>
      <c r="D44" s="3">
        <v>900</v>
      </c>
      <c r="E44" s="3" t="str" cm="1">
        <f t="array" ref="E44">_xlfn.IFS(C44="Electronics","10%",C44="Clothing","5%",C44="Furniture","8%",C44="Accessories","6%")</f>
        <v>5%</v>
      </c>
      <c r="F44" s="22">
        <f t="shared" si="0"/>
        <v>45</v>
      </c>
      <c r="G44" s="23">
        <f t="shared" si="1"/>
        <v>855</v>
      </c>
    </row>
    <row r="45" spans="1:7" ht="13.2" customHeight="1" x14ac:dyDescent="0.3">
      <c r="A45" s="6" t="s">
        <v>122</v>
      </c>
      <c r="B45" s="3" t="s">
        <v>123</v>
      </c>
      <c r="C45" s="3" t="s">
        <v>42</v>
      </c>
      <c r="D45" s="3">
        <v>7500</v>
      </c>
      <c r="E45" s="3" t="str" cm="1">
        <f t="array" ref="E45">_xlfn.IFS(C45="Electronics","10%",C45="Clothing","5%",C45="Furniture","8%",C45="Accessories","6%")</f>
        <v>8%</v>
      </c>
      <c r="F45" s="22">
        <f t="shared" si="0"/>
        <v>600</v>
      </c>
      <c r="G45" s="23">
        <f t="shared" si="1"/>
        <v>6900</v>
      </c>
    </row>
    <row r="46" spans="1:7" ht="13.2" customHeight="1" x14ac:dyDescent="0.3">
      <c r="A46" s="6" t="s">
        <v>124</v>
      </c>
      <c r="B46" s="3" t="s">
        <v>125</v>
      </c>
      <c r="C46" s="3" t="s">
        <v>51</v>
      </c>
      <c r="D46" s="3">
        <v>1800</v>
      </c>
      <c r="E46" s="3" t="str" cm="1">
        <f t="array" ref="E46">_xlfn.IFS(C46="Electronics","10%",C46="Clothing","5%",C46="Furniture","8%",C46="Accessories","6%")</f>
        <v>6%</v>
      </c>
      <c r="F46" s="22">
        <f t="shared" si="0"/>
        <v>108</v>
      </c>
      <c r="G46" s="23">
        <f t="shared" si="1"/>
        <v>1692</v>
      </c>
    </row>
    <row r="47" spans="1:7" ht="13.2" customHeight="1" x14ac:dyDescent="0.3">
      <c r="A47" s="6" t="s">
        <v>126</v>
      </c>
      <c r="B47" s="3" t="s">
        <v>127</v>
      </c>
      <c r="C47" s="3" t="s">
        <v>34</v>
      </c>
      <c r="D47" s="3">
        <v>85000</v>
      </c>
      <c r="E47" s="3" t="str" cm="1">
        <f t="array" ref="E47">_xlfn.IFS(C47="Electronics","10%",C47="Clothing","5%",C47="Furniture","8%",C47="Accessories","6%")</f>
        <v>10%</v>
      </c>
      <c r="F47" s="22">
        <f t="shared" si="0"/>
        <v>8500</v>
      </c>
      <c r="G47" s="23">
        <f t="shared" si="1"/>
        <v>76500</v>
      </c>
    </row>
    <row r="48" spans="1:7" ht="13.2" customHeight="1" x14ac:dyDescent="0.3">
      <c r="A48" s="6" t="s">
        <v>128</v>
      </c>
      <c r="B48" s="3" t="s">
        <v>129</v>
      </c>
      <c r="C48" s="3" t="s">
        <v>39</v>
      </c>
      <c r="D48" s="3">
        <v>3200</v>
      </c>
      <c r="E48" s="3" t="str" cm="1">
        <f t="array" ref="E48">_xlfn.IFS(C48="Electronics","10%",C48="Clothing","5%",C48="Furniture","8%",C48="Accessories","6%")</f>
        <v>5%</v>
      </c>
      <c r="F48" s="22">
        <f t="shared" si="0"/>
        <v>160</v>
      </c>
      <c r="G48" s="23">
        <f t="shared" si="1"/>
        <v>3040</v>
      </c>
    </row>
    <row r="49" spans="1:13" ht="13.2" customHeight="1" x14ac:dyDescent="0.3">
      <c r="A49" s="6" t="s">
        <v>130</v>
      </c>
      <c r="B49" s="3" t="s">
        <v>131</v>
      </c>
      <c r="C49" s="3" t="s">
        <v>42</v>
      </c>
      <c r="D49" s="3">
        <v>29000</v>
      </c>
      <c r="E49" s="3" t="str" cm="1">
        <f t="array" ref="E49">_xlfn.IFS(C49="Electronics","10%",C49="Clothing","5%",C49="Furniture","8%",C49="Accessories","6%")</f>
        <v>8%</v>
      </c>
      <c r="F49" s="22">
        <f t="shared" si="0"/>
        <v>2320</v>
      </c>
      <c r="G49" s="23">
        <f t="shared" si="1"/>
        <v>26680</v>
      </c>
    </row>
    <row r="50" spans="1:13" ht="13.2" customHeight="1" x14ac:dyDescent="0.3">
      <c r="A50" s="6" t="s">
        <v>132</v>
      </c>
      <c r="B50" s="3" t="s">
        <v>133</v>
      </c>
      <c r="C50" s="3" t="s">
        <v>51</v>
      </c>
      <c r="D50" s="3">
        <v>4200</v>
      </c>
      <c r="E50" s="3" t="str" cm="1">
        <f t="array" ref="E50">_xlfn.IFS(C50="Electronics","10%",C50="Clothing","5%",C50="Furniture","8%",C50="Accessories","6%")</f>
        <v>6%</v>
      </c>
      <c r="F50" s="22">
        <f t="shared" si="0"/>
        <v>252</v>
      </c>
      <c r="G50" s="23">
        <f t="shared" si="1"/>
        <v>3948</v>
      </c>
    </row>
    <row r="51" spans="1:13" ht="13.2" customHeight="1" x14ac:dyDescent="0.3">
      <c r="A51" s="24" t="s">
        <v>134</v>
      </c>
      <c r="B51" s="25" t="s">
        <v>135</v>
      </c>
      <c r="C51" s="25" t="s">
        <v>34</v>
      </c>
      <c r="D51" s="25">
        <v>45000</v>
      </c>
      <c r="E51" s="25" t="str" cm="1">
        <f t="array" ref="E51">_xlfn.IFS(C51="Electronics","10%",C51="Clothing","5%",C51="Furniture","8%",C51="Accessories","6%")</f>
        <v>10%</v>
      </c>
      <c r="F51" s="26">
        <f t="shared" si="0"/>
        <v>4500</v>
      </c>
      <c r="G51" s="27">
        <f t="shared" si="1"/>
        <v>40500</v>
      </c>
    </row>
    <row r="52" spans="1:13" ht="13.2" customHeight="1" x14ac:dyDescent="0.3">
      <c r="A52" s="24"/>
      <c r="B52" s="25"/>
      <c r="C52" s="25"/>
      <c r="D52" s="25"/>
      <c r="E52" s="25"/>
      <c r="F52" s="26"/>
      <c r="G52" s="27"/>
    </row>
    <row r="56" spans="1:13" ht="13.2" customHeight="1" x14ac:dyDescent="0.3">
      <c r="M56" s="30"/>
    </row>
    <row r="57" spans="1:13" ht="13.2" customHeight="1" x14ac:dyDescent="0.3">
      <c r="M57" s="31"/>
    </row>
    <row r="58" spans="1:13" ht="13.2" customHeight="1" x14ac:dyDescent="0.3">
      <c r="M58" s="30"/>
    </row>
    <row r="59" spans="1:13" ht="13.2" customHeight="1" x14ac:dyDescent="0.3">
      <c r="M59" s="31"/>
    </row>
    <row r="60" spans="1:13" ht="13.2" customHeight="1" x14ac:dyDescent="0.3">
      <c r="M60" s="30"/>
    </row>
    <row r="61" spans="1:13" ht="13.2" customHeight="1" x14ac:dyDescent="0.3">
      <c r="M61" s="31"/>
    </row>
    <row r="62" spans="1:13" ht="13.2" customHeight="1" x14ac:dyDescent="0.3">
      <c r="M62" s="30"/>
    </row>
    <row r="63" spans="1:13" ht="13.2" customHeight="1" x14ac:dyDescent="0.3">
      <c r="M63" s="31"/>
    </row>
    <row r="64" spans="1:13" ht="13.2" customHeight="1" x14ac:dyDescent="0.3">
      <c r="M64" s="30"/>
    </row>
    <row r="65" spans="13:13" ht="13.2" customHeight="1" x14ac:dyDescent="0.3">
      <c r="M65" s="31"/>
    </row>
    <row r="66" spans="13:13" ht="13.2" customHeight="1" x14ac:dyDescent="0.3">
      <c r="M66" s="30"/>
    </row>
    <row r="67" spans="13:13" ht="13.2" customHeight="1" x14ac:dyDescent="0.3">
      <c r="M67" s="31"/>
    </row>
  </sheetData>
  <mergeCells count="9">
    <mergeCell ref="I16:K16"/>
    <mergeCell ref="I19:K19"/>
    <mergeCell ref="I24:K24"/>
    <mergeCell ref="H1:J1"/>
    <mergeCell ref="H2:J2"/>
    <mergeCell ref="H3:J3"/>
    <mergeCell ref="H4:J4"/>
    <mergeCell ref="M1:N1"/>
    <mergeCell ref="I9:K9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Question1</vt:lpstr>
      <vt:lpstr>solution1</vt:lpstr>
      <vt:lpstr>Question2</vt:lpstr>
      <vt:lpstr>solution2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Kumar Jaiswal</dc:creator>
  <cp:lastModifiedBy>Rahul Kumar Jaiswal</cp:lastModifiedBy>
  <dcterms:created xsi:type="dcterms:W3CDTF">2026-03-16T09:21:39Z</dcterms:created>
  <dcterms:modified xsi:type="dcterms:W3CDTF">2026-03-16T12:35:31Z</dcterms:modified>
</cp:coreProperties>
</file>