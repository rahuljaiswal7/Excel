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F2FF5732-74B1-4E42-97B3-55FE4BF68234}" xr6:coauthVersionLast="47" xr6:coauthVersionMax="47" xr10:uidLastSave="{00000000-0000-0000-0000-000000000000}"/>
  <bookViews>
    <workbookView xWindow="-108" yWindow="-108" windowWidth="23256" windowHeight="12456" xr2:uid="{F9350354-C41E-495F-A376-740ADCE4A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G25" i="1"/>
  <c r="G21" i="1"/>
  <c r="G15" i="1"/>
  <c r="G11" i="1"/>
  <c r="G5" i="1"/>
</calcChain>
</file>

<file path=xl/sharedStrings.xml><?xml version="1.0" encoding="utf-8"?>
<sst xmlns="http://schemas.openxmlformats.org/spreadsheetml/2006/main" count="188" uniqueCount="74">
  <si>
    <t>Salesman</t>
  </si>
  <si>
    <t>Dept</t>
  </si>
  <si>
    <t>Region</t>
  </si>
  <si>
    <t>Month</t>
  </si>
  <si>
    <t>Sales</t>
  </si>
  <si>
    <t>Amit</t>
  </si>
  <si>
    <t>Electronics</t>
  </si>
  <si>
    <t>North</t>
  </si>
  <si>
    <t>Jan</t>
  </si>
  <si>
    <t>Rahul</t>
  </si>
  <si>
    <t>Grocery</t>
  </si>
  <si>
    <t>East</t>
  </si>
  <si>
    <t>Pooja</t>
  </si>
  <si>
    <t>Clothing</t>
  </si>
  <si>
    <t>West</t>
  </si>
  <si>
    <t>Neha</t>
  </si>
  <si>
    <t>South</t>
  </si>
  <si>
    <t>Rakesh</t>
  </si>
  <si>
    <t>Furniture</t>
  </si>
  <si>
    <t>Vikash</t>
  </si>
  <si>
    <t>Feb</t>
  </si>
  <si>
    <t>Anjali</t>
  </si>
  <si>
    <t>Rohit</t>
  </si>
  <si>
    <t>Deepak</t>
  </si>
  <si>
    <t>Kiran</t>
  </si>
  <si>
    <t>Sunil</t>
  </si>
  <si>
    <t>Mar</t>
  </si>
  <si>
    <t>Shweta</t>
  </si>
  <si>
    <t>Manoj</t>
  </si>
  <si>
    <t>Abhishek</t>
  </si>
  <si>
    <t>Nisha</t>
  </si>
  <si>
    <t>Ajay</t>
  </si>
  <si>
    <t>Apr</t>
  </si>
  <si>
    <t>Ritu</t>
  </si>
  <si>
    <t>Mohit</t>
  </si>
  <si>
    <t>Rajesh</t>
  </si>
  <si>
    <t>Pankaj</t>
  </si>
  <si>
    <t>Sonali</t>
  </si>
  <si>
    <t>May</t>
  </si>
  <si>
    <t>Vivek</t>
  </si>
  <si>
    <t>Alok</t>
  </si>
  <si>
    <t>Kavita</t>
  </si>
  <si>
    <t>Rohan</t>
  </si>
  <si>
    <t>Meena</t>
  </si>
  <si>
    <t>Jun</t>
  </si>
  <si>
    <t>Sandeep</t>
  </si>
  <si>
    <t>Payal</t>
  </si>
  <si>
    <t>Prakash</t>
  </si>
  <si>
    <t>Akash</t>
  </si>
  <si>
    <t>Simran</t>
  </si>
  <si>
    <t>Jul</t>
  </si>
  <si>
    <t>Tarun</t>
  </si>
  <si>
    <t>Muskan</t>
  </si>
  <si>
    <t>Harsh</t>
  </si>
  <si>
    <t>Satyam</t>
  </si>
  <si>
    <t>Sneha</t>
  </si>
  <si>
    <t>Aug</t>
  </si>
  <si>
    <t>Gaurav</t>
  </si>
  <si>
    <t>Priti</t>
  </si>
  <si>
    <t>Dinesh</t>
  </si>
  <si>
    <t>Aarti</t>
  </si>
  <si>
    <t>Manish</t>
  </si>
  <si>
    <t>Sep</t>
  </si>
  <si>
    <t>Jyoti</t>
  </si>
  <si>
    <t>Naveen</t>
  </si>
  <si>
    <t>Furniture department ki total sales nikalo</t>
  </si>
  <si>
    <t>Kitne logon ki sales 40000 se jyada hai</t>
  </si>
  <si>
    <t>North region ki total sales</t>
  </si>
  <si>
    <t xml:space="preserve">North region </t>
  </si>
  <si>
    <t>Grocery department me kitne salesman hain</t>
  </si>
  <si>
    <t>Sales man</t>
  </si>
  <si>
    <t>Furniture + South region ki total sales</t>
  </si>
  <si>
    <t>Furniture + South</t>
  </si>
  <si>
    <t>Jan month ki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</si>
</sst>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5074B2-A50E-4830-833F-658CB75B2ACF}" name="Table1" displayName="Table1" ref="A1:E44" totalsRowShown="0" headerRowDxfId="6" dataDxfId="5">
  <autoFilter ref="A1:E44" xr:uid="{6D5074B2-A50E-4830-833F-658CB75B2ACF}"/>
  <tableColumns count="5">
    <tableColumn id="1" xr3:uid="{B1882C65-56F7-4FFD-A1C2-7E7B04F47700}" name="Salesman" dataDxfId="4"/>
    <tableColumn id="2" xr3:uid="{DBB3A7B4-853E-43F8-9E3E-4DEE23ACFA35}" name="Dept" dataDxfId="3"/>
    <tableColumn id="3" xr3:uid="{9ACBA9ED-FAD3-466D-A50F-7D3ABF95867E}" name="Region" dataDxfId="2"/>
    <tableColumn id="4" xr3:uid="{B5F0AE3F-29C3-420E-A6C5-7EFDCDA5AC40}" name="Month" dataDxfId="1"/>
    <tableColumn id="5" xr3:uid="{37487AE6-03EB-4897-8089-61391E68E154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686A-E8AB-4C5B-B0C9-03FE228305EE}">
  <dimension ref="A1:I45"/>
  <sheetViews>
    <sheetView tabSelected="1" topLeftCell="A13" workbookViewId="0">
      <selection activeCell="G36" sqref="G36"/>
    </sheetView>
  </sheetViews>
  <sheetFormatPr defaultColWidth="17.777343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s="2" t="s">
        <v>5</v>
      </c>
      <c r="B2" s="2" t="s">
        <v>6</v>
      </c>
      <c r="C2" s="2" t="s">
        <v>7</v>
      </c>
      <c r="D2" s="2" t="s">
        <v>8</v>
      </c>
      <c r="E2" s="2">
        <v>45000</v>
      </c>
      <c r="G2" s="6" t="s">
        <v>65</v>
      </c>
      <c r="H2" s="6"/>
    </row>
    <row r="3" spans="1:8" x14ac:dyDescent="0.3">
      <c r="A3" s="2" t="s">
        <v>9</v>
      </c>
      <c r="B3" s="2" t="s">
        <v>10</v>
      </c>
      <c r="C3" s="2" t="s">
        <v>11</v>
      </c>
      <c r="D3" s="2" t="s">
        <v>8</v>
      </c>
      <c r="E3" s="2">
        <v>32000</v>
      </c>
    </row>
    <row r="4" spans="1:8" x14ac:dyDescent="0.3">
      <c r="A4" s="2" t="s">
        <v>12</v>
      </c>
      <c r="B4" s="2" t="s">
        <v>13</v>
      </c>
      <c r="C4" s="2" t="s">
        <v>14</v>
      </c>
      <c r="D4" s="2" t="s">
        <v>8</v>
      </c>
      <c r="E4" s="2">
        <v>28000</v>
      </c>
      <c r="G4" s="4" t="s">
        <v>18</v>
      </c>
    </row>
    <row r="5" spans="1:8" x14ac:dyDescent="0.3">
      <c r="A5" s="2" t="s">
        <v>15</v>
      </c>
      <c r="B5" s="2" t="s">
        <v>6</v>
      </c>
      <c r="C5" s="2" t="s">
        <v>16</v>
      </c>
      <c r="D5" s="2" t="s">
        <v>8</v>
      </c>
      <c r="E5" s="2">
        <v>52000</v>
      </c>
      <c r="G5" s="5">
        <f>SUMIF(Table1[Dept],"Furniture",E2:E44)</f>
        <v>431500</v>
      </c>
    </row>
    <row r="6" spans="1:8" x14ac:dyDescent="0.3">
      <c r="A6" s="2" t="s">
        <v>17</v>
      </c>
      <c r="B6" s="2" t="s">
        <v>18</v>
      </c>
      <c r="C6" s="2" t="s">
        <v>7</v>
      </c>
      <c r="D6" s="2" t="s">
        <v>8</v>
      </c>
      <c r="E6" s="2">
        <v>61000</v>
      </c>
    </row>
    <row r="7" spans="1:8" x14ac:dyDescent="0.3">
      <c r="A7" s="2" t="s">
        <v>19</v>
      </c>
      <c r="B7" s="2" t="s">
        <v>10</v>
      </c>
      <c r="C7" s="2" t="s">
        <v>11</v>
      </c>
      <c r="D7" s="2" t="s">
        <v>20</v>
      </c>
      <c r="E7" s="2">
        <v>39000</v>
      </c>
    </row>
    <row r="8" spans="1:8" x14ac:dyDescent="0.3">
      <c r="A8" s="2" t="s">
        <v>21</v>
      </c>
      <c r="B8" s="2" t="s">
        <v>13</v>
      </c>
      <c r="C8" s="2" t="s">
        <v>16</v>
      </c>
      <c r="D8" s="2" t="s">
        <v>20</v>
      </c>
      <c r="E8" s="2">
        <v>47000</v>
      </c>
    </row>
    <row r="9" spans="1:8" x14ac:dyDescent="0.3">
      <c r="A9" s="2" t="s">
        <v>22</v>
      </c>
      <c r="B9" s="2" t="s">
        <v>6</v>
      </c>
      <c r="C9" s="2" t="s">
        <v>14</v>
      </c>
      <c r="D9" s="2" t="s">
        <v>20</v>
      </c>
      <c r="E9" s="2">
        <v>55000</v>
      </c>
      <c r="G9" s="6" t="s">
        <v>66</v>
      </c>
      <c r="H9" s="6"/>
    </row>
    <row r="10" spans="1:8" x14ac:dyDescent="0.3">
      <c r="A10" s="2" t="s">
        <v>23</v>
      </c>
      <c r="B10" s="2" t="s">
        <v>18</v>
      </c>
      <c r="C10" s="2" t="s">
        <v>7</v>
      </c>
      <c r="D10" s="2" t="s">
        <v>20</v>
      </c>
      <c r="E10" s="2">
        <v>26000</v>
      </c>
    </row>
    <row r="11" spans="1:8" x14ac:dyDescent="0.3">
      <c r="A11" s="2" t="s">
        <v>24</v>
      </c>
      <c r="B11" s="2" t="s">
        <v>10</v>
      </c>
      <c r="C11" s="2" t="s">
        <v>16</v>
      </c>
      <c r="D11" s="2" t="s">
        <v>20</v>
      </c>
      <c r="E11" s="2">
        <v>31000</v>
      </c>
      <c r="G11" s="3">
        <f>COUNTIF(Table1[Sales],"&gt;40000")</f>
        <v>22</v>
      </c>
    </row>
    <row r="12" spans="1:8" x14ac:dyDescent="0.3">
      <c r="A12" s="2" t="s">
        <v>25</v>
      </c>
      <c r="B12" s="2" t="s">
        <v>6</v>
      </c>
      <c r="C12" s="2" t="s">
        <v>11</v>
      </c>
      <c r="D12" s="2" t="s">
        <v>26</v>
      </c>
      <c r="E12" s="2">
        <v>48000</v>
      </c>
    </row>
    <row r="13" spans="1:8" x14ac:dyDescent="0.3">
      <c r="A13" s="2" t="s">
        <v>27</v>
      </c>
      <c r="B13" s="2" t="s">
        <v>13</v>
      </c>
      <c r="C13" s="2" t="s">
        <v>14</v>
      </c>
      <c r="D13" s="2" t="s">
        <v>26</v>
      </c>
      <c r="E13" s="2">
        <v>34000</v>
      </c>
      <c r="G13" s="6" t="s">
        <v>67</v>
      </c>
      <c r="H13" s="6"/>
    </row>
    <row r="14" spans="1:8" x14ac:dyDescent="0.3">
      <c r="A14" s="2" t="s">
        <v>28</v>
      </c>
      <c r="B14" s="2" t="s">
        <v>18</v>
      </c>
      <c r="C14" s="2" t="s">
        <v>16</v>
      </c>
      <c r="D14" s="2" t="s">
        <v>26</v>
      </c>
      <c r="E14" s="2">
        <v>42000</v>
      </c>
      <c r="G14" s="4" t="s">
        <v>68</v>
      </c>
    </row>
    <row r="15" spans="1:8" x14ac:dyDescent="0.3">
      <c r="A15" s="2" t="s">
        <v>29</v>
      </c>
      <c r="B15" s="2" t="s">
        <v>6</v>
      </c>
      <c r="C15" s="2" t="s">
        <v>7</v>
      </c>
      <c r="D15" s="2" t="s">
        <v>26</v>
      </c>
      <c r="E15" s="2">
        <v>70000</v>
      </c>
      <c r="G15" s="7">
        <f>SUMIF(Table1[Region],C2,Table1[Sales])</f>
        <v>497500</v>
      </c>
    </row>
    <row r="16" spans="1:8" x14ac:dyDescent="0.3">
      <c r="A16" s="2" t="s">
        <v>30</v>
      </c>
      <c r="B16" s="2" t="s">
        <v>10</v>
      </c>
      <c r="C16" s="2" t="s">
        <v>14</v>
      </c>
      <c r="D16" s="2" t="s">
        <v>26</v>
      </c>
      <c r="E16" s="2">
        <v>29000</v>
      </c>
    </row>
    <row r="17" spans="1:9" x14ac:dyDescent="0.3">
      <c r="A17" s="2" t="s">
        <v>31</v>
      </c>
      <c r="B17" s="2" t="s">
        <v>13</v>
      </c>
      <c r="C17" s="2" t="s">
        <v>11</v>
      </c>
      <c r="D17" s="2" t="s">
        <v>32</v>
      </c>
      <c r="E17" s="2">
        <v>51000</v>
      </c>
    </row>
    <row r="18" spans="1:9" x14ac:dyDescent="0.3">
      <c r="A18" s="2" t="s">
        <v>33</v>
      </c>
      <c r="B18" s="2" t="s">
        <v>18</v>
      </c>
      <c r="C18" s="2" t="s">
        <v>16</v>
      </c>
      <c r="D18" s="2" t="s">
        <v>32</v>
      </c>
      <c r="E18" s="2">
        <v>36000</v>
      </c>
      <c r="G18" s="6" t="s">
        <v>69</v>
      </c>
      <c r="H18" s="6"/>
      <c r="I18" s="6"/>
    </row>
    <row r="19" spans="1:9" x14ac:dyDescent="0.3">
      <c r="A19" s="2" t="s">
        <v>34</v>
      </c>
      <c r="B19" s="2" t="s">
        <v>6</v>
      </c>
      <c r="C19" s="2" t="s">
        <v>7</v>
      </c>
      <c r="D19" s="2" t="s">
        <v>32</v>
      </c>
      <c r="E19" s="2">
        <v>62000</v>
      </c>
    </row>
    <row r="20" spans="1:9" x14ac:dyDescent="0.3">
      <c r="A20" s="2" t="s">
        <v>35</v>
      </c>
      <c r="B20" s="2" t="s">
        <v>10</v>
      </c>
      <c r="C20" s="2" t="s">
        <v>14</v>
      </c>
      <c r="D20" s="2" t="s">
        <v>32</v>
      </c>
      <c r="E20" s="2">
        <v>27000</v>
      </c>
      <c r="G20" s="8" t="s">
        <v>70</v>
      </c>
    </row>
    <row r="21" spans="1:9" x14ac:dyDescent="0.3">
      <c r="A21" s="2" t="s">
        <v>36</v>
      </c>
      <c r="B21" s="2" t="s">
        <v>13</v>
      </c>
      <c r="C21" s="2" t="s">
        <v>16</v>
      </c>
      <c r="D21" s="2" t="s">
        <v>32</v>
      </c>
      <c r="E21" s="2">
        <v>33000</v>
      </c>
      <c r="G21" s="9">
        <f>COUNTIF(Table1[Dept],B3)</f>
        <v>11</v>
      </c>
    </row>
    <row r="22" spans="1:9" x14ac:dyDescent="0.3">
      <c r="A22" s="2" t="s">
        <v>37</v>
      </c>
      <c r="B22" s="2" t="s">
        <v>6</v>
      </c>
      <c r="C22" s="2" t="s">
        <v>11</v>
      </c>
      <c r="D22" s="2" t="s">
        <v>38</v>
      </c>
      <c r="E22" s="2">
        <v>54000</v>
      </c>
    </row>
    <row r="23" spans="1:9" x14ac:dyDescent="0.3">
      <c r="A23" s="2" t="s">
        <v>39</v>
      </c>
      <c r="B23" s="2" t="s">
        <v>18</v>
      </c>
      <c r="C23" s="2" t="s">
        <v>7</v>
      </c>
      <c r="D23" s="2" t="s">
        <v>38</v>
      </c>
      <c r="E23" s="2">
        <v>46000</v>
      </c>
      <c r="G23" s="6" t="s">
        <v>71</v>
      </c>
      <c r="H23" s="6"/>
    </row>
    <row r="24" spans="1:9" x14ac:dyDescent="0.3">
      <c r="A24" s="2" t="s">
        <v>40</v>
      </c>
      <c r="B24" s="2" t="s">
        <v>10</v>
      </c>
      <c r="C24" s="2" t="s">
        <v>16</v>
      </c>
      <c r="D24" s="2" t="s">
        <v>38</v>
      </c>
      <c r="E24" s="2">
        <v>30000</v>
      </c>
      <c r="G24" s="4" t="s">
        <v>72</v>
      </c>
    </row>
    <row r="25" spans="1:9" x14ac:dyDescent="0.3">
      <c r="A25" s="2" t="s">
        <v>41</v>
      </c>
      <c r="B25" s="2" t="s">
        <v>13</v>
      </c>
      <c r="C25" s="2" t="s">
        <v>14</v>
      </c>
      <c r="D25" s="2" t="s">
        <v>38</v>
      </c>
      <c r="E25" s="2">
        <v>37000</v>
      </c>
      <c r="G25" s="7">
        <f>SUMIFS(Table1[Sales],Table1[Dept],B6,Table1[Region],C5)</f>
        <v>163000</v>
      </c>
    </row>
    <row r="26" spans="1:9" x14ac:dyDescent="0.3">
      <c r="A26" s="2" t="s">
        <v>42</v>
      </c>
      <c r="B26" s="2" t="s">
        <v>6</v>
      </c>
      <c r="C26" s="2" t="s">
        <v>11</v>
      </c>
      <c r="D26" s="2" t="s">
        <v>38</v>
      </c>
      <c r="E26" s="2">
        <v>58000</v>
      </c>
    </row>
    <row r="27" spans="1:9" x14ac:dyDescent="0.3">
      <c r="A27" s="2" t="s">
        <v>43</v>
      </c>
      <c r="B27" s="2" t="s">
        <v>18</v>
      </c>
      <c r="C27" s="2" t="s">
        <v>16</v>
      </c>
      <c r="D27" s="2" t="s">
        <v>44</v>
      </c>
      <c r="E27" s="2">
        <v>41000</v>
      </c>
    </row>
    <row r="28" spans="1:9" x14ac:dyDescent="0.3">
      <c r="A28" s="2" t="s">
        <v>45</v>
      </c>
      <c r="B28" s="2" t="s">
        <v>10</v>
      </c>
      <c r="C28" s="2" t="s">
        <v>7</v>
      </c>
      <c r="D28" s="2" t="s">
        <v>44</v>
      </c>
      <c r="E28" s="2">
        <v>35000</v>
      </c>
      <c r="G28" s="6" t="s">
        <v>73</v>
      </c>
      <c r="H28" s="6"/>
    </row>
    <row r="29" spans="1:9" x14ac:dyDescent="0.3">
      <c r="A29" s="2" t="s">
        <v>46</v>
      </c>
      <c r="B29" s="2" t="s">
        <v>13</v>
      </c>
      <c r="C29" s="2" t="s">
        <v>11</v>
      </c>
      <c r="D29" s="2" t="s">
        <v>44</v>
      </c>
      <c r="E29" s="2">
        <v>26000</v>
      </c>
      <c r="G29" s="4" t="s">
        <v>8</v>
      </c>
    </row>
    <row r="30" spans="1:9" x14ac:dyDescent="0.3">
      <c r="A30" s="2" t="s">
        <v>47</v>
      </c>
      <c r="B30" s="2" t="s">
        <v>6</v>
      </c>
      <c r="C30" s="2" t="s">
        <v>14</v>
      </c>
      <c r="D30" s="2" t="s">
        <v>44</v>
      </c>
      <c r="E30" s="2">
        <v>49000</v>
      </c>
      <c r="G30" s="7">
        <f>SUMIF(Table1[Month],D2,Table1[Sales])</f>
        <v>218000</v>
      </c>
    </row>
    <row r="31" spans="1:9" x14ac:dyDescent="0.3">
      <c r="A31" s="2" t="s">
        <v>48</v>
      </c>
      <c r="B31" s="2" t="s">
        <v>18</v>
      </c>
      <c r="C31" s="2" t="s">
        <v>16</v>
      </c>
      <c r="D31" s="2" t="s">
        <v>44</v>
      </c>
      <c r="E31" s="2">
        <v>44000</v>
      </c>
    </row>
    <row r="32" spans="1:9" x14ac:dyDescent="0.3">
      <c r="A32" s="2" t="s">
        <v>49</v>
      </c>
      <c r="B32" s="2" t="s">
        <v>10</v>
      </c>
      <c r="C32" s="2" t="s">
        <v>7</v>
      </c>
      <c r="D32" s="2" t="s">
        <v>50</v>
      </c>
      <c r="E32" s="2">
        <v>38000</v>
      </c>
    </row>
    <row r="33" spans="1:5" x14ac:dyDescent="0.3">
      <c r="A33" s="2" t="s">
        <v>51</v>
      </c>
      <c r="B33" s="2" t="s">
        <v>13</v>
      </c>
      <c r="C33" s="2" t="s">
        <v>11</v>
      </c>
      <c r="D33" s="2" t="s">
        <v>50</v>
      </c>
      <c r="E33" s="2">
        <v>52000</v>
      </c>
    </row>
    <row r="34" spans="1:5" x14ac:dyDescent="0.3">
      <c r="A34" s="2" t="s">
        <v>52</v>
      </c>
      <c r="B34" s="2" t="s">
        <v>6</v>
      </c>
      <c r="C34" s="2" t="s">
        <v>16</v>
      </c>
      <c r="D34" s="2" t="s">
        <v>50</v>
      </c>
      <c r="E34" s="2">
        <v>31000</v>
      </c>
    </row>
    <row r="35" spans="1:5" x14ac:dyDescent="0.3">
      <c r="A35" s="2" t="s">
        <v>53</v>
      </c>
      <c r="B35" s="2" t="s">
        <v>18</v>
      </c>
      <c r="C35" s="2" t="s">
        <v>14</v>
      </c>
      <c r="D35" s="2" t="s">
        <v>50</v>
      </c>
      <c r="E35" s="2">
        <v>57000</v>
      </c>
    </row>
    <row r="36" spans="1:5" x14ac:dyDescent="0.3">
      <c r="A36" s="2" t="s">
        <v>54</v>
      </c>
      <c r="B36" s="2" t="s">
        <v>10</v>
      </c>
      <c r="C36" s="2" t="s">
        <v>11</v>
      </c>
      <c r="D36" s="2" t="s">
        <v>50</v>
      </c>
      <c r="E36" s="2">
        <v>29500</v>
      </c>
    </row>
    <row r="37" spans="1:5" x14ac:dyDescent="0.3">
      <c r="A37" s="2" t="s">
        <v>55</v>
      </c>
      <c r="B37" s="2" t="s">
        <v>13</v>
      </c>
      <c r="C37" s="2" t="s">
        <v>7</v>
      </c>
      <c r="D37" s="2" t="s">
        <v>56</v>
      </c>
      <c r="E37" s="2">
        <v>46500</v>
      </c>
    </row>
    <row r="38" spans="1:5" x14ac:dyDescent="0.3">
      <c r="A38" s="2" t="s">
        <v>57</v>
      </c>
      <c r="B38" s="2" t="s">
        <v>6</v>
      </c>
      <c r="C38" s="2" t="s">
        <v>16</v>
      </c>
      <c r="D38" s="2" t="s">
        <v>56</v>
      </c>
      <c r="E38" s="2">
        <v>61000</v>
      </c>
    </row>
    <row r="39" spans="1:5" x14ac:dyDescent="0.3">
      <c r="A39" s="2" t="s">
        <v>58</v>
      </c>
      <c r="B39" s="2" t="s">
        <v>18</v>
      </c>
      <c r="C39" s="2" t="s">
        <v>11</v>
      </c>
      <c r="D39" s="2" t="s">
        <v>56</v>
      </c>
      <c r="E39" s="2">
        <v>35500</v>
      </c>
    </row>
    <row r="40" spans="1:5" x14ac:dyDescent="0.3">
      <c r="A40" s="2" t="s">
        <v>59</v>
      </c>
      <c r="B40" s="2" t="s">
        <v>10</v>
      </c>
      <c r="C40" s="2" t="s">
        <v>14</v>
      </c>
      <c r="D40" s="2" t="s">
        <v>56</v>
      </c>
      <c r="E40" s="2">
        <v>27500</v>
      </c>
    </row>
    <row r="41" spans="1:5" x14ac:dyDescent="0.3">
      <c r="A41" s="2" t="s">
        <v>60</v>
      </c>
      <c r="B41" s="2" t="s">
        <v>13</v>
      </c>
      <c r="C41" s="2" t="s">
        <v>16</v>
      </c>
      <c r="D41" s="2" t="s">
        <v>56</v>
      </c>
      <c r="E41" s="2">
        <v>33500</v>
      </c>
    </row>
    <row r="42" spans="1:5" x14ac:dyDescent="0.3">
      <c r="A42" s="2" t="s">
        <v>61</v>
      </c>
      <c r="B42" s="2" t="s">
        <v>6</v>
      </c>
      <c r="C42" s="2" t="s">
        <v>7</v>
      </c>
      <c r="D42" s="2" t="s">
        <v>62</v>
      </c>
      <c r="E42" s="2">
        <v>68000</v>
      </c>
    </row>
    <row r="43" spans="1:5" x14ac:dyDescent="0.3">
      <c r="A43" s="2" t="s">
        <v>63</v>
      </c>
      <c r="B43" s="2" t="s">
        <v>18</v>
      </c>
      <c r="C43" s="2" t="s">
        <v>11</v>
      </c>
      <c r="D43" s="2" t="s">
        <v>62</v>
      </c>
      <c r="E43" s="2">
        <v>43000</v>
      </c>
    </row>
    <row r="44" spans="1:5" x14ac:dyDescent="0.3">
      <c r="A44" s="2" t="s">
        <v>64</v>
      </c>
      <c r="B44" s="2" t="s">
        <v>10</v>
      </c>
      <c r="C44" s="2" t="s">
        <v>16</v>
      </c>
      <c r="D44" s="2" t="s">
        <v>62</v>
      </c>
      <c r="E44" s="2">
        <v>31500</v>
      </c>
    </row>
    <row r="45" spans="1:5" x14ac:dyDescent="0.3">
      <c r="A45" s="2"/>
      <c r="B45" s="2"/>
      <c r="C45" s="2"/>
      <c r="D45" s="2"/>
      <c r="E45" s="2"/>
    </row>
  </sheetData>
  <mergeCells count="6">
    <mergeCell ref="G28:H28"/>
    <mergeCell ref="G2:H2"/>
    <mergeCell ref="G9:H9"/>
    <mergeCell ref="G13:H13"/>
    <mergeCell ref="G18:I18"/>
    <mergeCell ref="G23:H2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2026-02-28T04:06:00Z</dcterms:created>
  <dcterms:modified xsi:type="dcterms:W3CDTF">2026-02-28T04:44:58Z</dcterms:modified>
</cp:coreProperties>
</file>