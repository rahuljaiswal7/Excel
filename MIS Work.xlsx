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13_ncr:1_{D07563A5-386F-40D7-A097-1BDE8407EED2}" xr6:coauthVersionLast="47" xr6:coauthVersionMax="47" xr10:uidLastSave="{00000000-0000-0000-0000-000000000000}"/>
  <bookViews>
    <workbookView xWindow="-108" yWindow="-108" windowWidth="23256" windowHeight="12456" activeTab="1" xr2:uid="{61106657-A93C-4B44-AFB3-7DDA4E305848}"/>
  </bookViews>
  <sheets>
    <sheet name="Question" sheetId="2" r:id="rId1"/>
    <sheet name="solutions1" sheetId="1" r:id="rId2"/>
    <sheet name="solution2" sheetId="3" r:id="rId3"/>
    <sheet name="solution3" sheetId="4" r:id="rId4"/>
    <sheet name="solution4" sheetId="5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I20" i="1"/>
  <c r="J16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2" i="3"/>
  <c r="J10" i="1"/>
  <c r="J5" i="1"/>
  <c r="M6" i="1"/>
</calcChain>
</file>

<file path=xl/sharedStrings.xml><?xml version="1.0" encoding="utf-8"?>
<sst xmlns="http://schemas.openxmlformats.org/spreadsheetml/2006/main" count="1093" uniqueCount="128">
  <si>
    <t>Date</t>
  </si>
  <si>
    <t>Salesman</t>
  </si>
  <si>
    <t>Region</t>
  </si>
  <si>
    <t>Department</t>
  </si>
  <si>
    <t>Product</t>
  </si>
  <si>
    <t>Sales</t>
  </si>
  <si>
    <t>Target</t>
  </si>
  <si>
    <t>Amit</t>
  </si>
  <si>
    <t>North</t>
  </si>
  <si>
    <t>Electronics</t>
  </si>
  <si>
    <t>Laptop</t>
  </si>
  <si>
    <t>Rahul</t>
  </si>
  <si>
    <t>East</t>
  </si>
  <si>
    <t>Grocery</t>
  </si>
  <si>
    <t>Rice</t>
  </si>
  <si>
    <t>Pooja</t>
  </si>
  <si>
    <t>West</t>
  </si>
  <si>
    <t>Clothing</t>
  </si>
  <si>
    <t>Shirt</t>
  </si>
  <si>
    <t>Neha</t>
  </si>
  <si>
    <t>South</t>
  </si>
  <si>
    <t>Mobile</t>
  </si>
  <si>
    <t>Rakesh</t>
  </si>
  <si>
    <t>Furniture</t>
  </si>
  <si>
    <t>Table</t>
  </si>
  <si>
    <t>Vikash</t>
  </si>
  <si>
    <t>Oil</t>
  </si>
  <si>
    <t>Anjali</t>
  </si>
  <si>
    <t>Jeans</t>
  </si>
  <si>
    <t>Rohit</t>
  </si>
  <si>
    <t>TV</t>
  </si>
  <si>
    <t>Deepak</t>
  </si>
  <si>
    <t>Chair</t>
  </si>
  <si>
    <t>Kiran</t>
  </si>
  <si>
    <t>Sugar</t>
  </si>
  <si>
    <t>Sunil</t>
  </si>
  <si>
    <t>Shweta</t>
  </si>
  <si>
    <t>Jacket</t>
  </si>
  <si>
    <t>13-01-2024</t>
  </si>
  <si>
    <t>Manoj</t>
  </si>
  <si>
    <t>Bed</t>
  </si>
  <si>
    <t>14-01-2024</t>
  </si>
  <si>
    <t>Abhishek</t>
  </si>
  <si>
    <t>15-01-2024</t>
  </si>
  <si>
    <t>Nisha</t>
  </si>
  <si>
    <t>Wheat</t>
  </si>
  <si>
    <t>16-01-2024</t>
  </si>
  <si>
    <t>Ajay</t>
  </si>
  <si>
    <t>Kurta</t>
  </si>
  <si>
    <t>17-01-2024</t>
  </si>
  <si>
    <t>Ritu</t>
  </si>
  <si>
    <t>Sofa</t>
  </si>
  <si>
    <t>18-01-2024</t>
  </si>
  <si>
    <t>Mohit</t>
  </si>
  <si>
    <t>19-01-2024</t>
  </si>
  <si>
    <t>Rajesh</t>
  </si>
  <si>
    <t>Tea</t>
  </si>
  <si>
    <t>20-01-2024</t>
  </si>
  <si>
    <t>Pankaj</t>
  </si>
  <si>
    <t>T-shirt</t>
  </si>
  <si>
    <t>21-01-2024</t>
  </si>
  <si>
    <t>Sonali</t>
  </si>
  <si>
    <t>22-01-2024</t>
  </si>
  <si>
    <t>Vivek</t>
  </si>
  <si>
    <t>23-01-2024</t>
  </si>
  <si>
    <t>Alok</t>
  </si>
  <si>
    <t>24-01-2024</t>
  </si>
  <si>
    <t>Kavita</t>
  </si>
  <si>
    <t>25-01-2024</t>
  </si>
  <si>
    <t>Rohan</t>
  </si>
  <si>
    <t>26-01-2024</t>
  </si>
  <si>
    <t>Meena</t>
  </si>
  <si>
    <t>27-01-2024</t>
  </si>
  <si>
    <t>Sandeep</t>
  </si>
  <si>
    <t>28-01-2024</t>
  </si>
  <si>
    <t>Payal</t>
  </si>
  <si>
    <t>29-01-2024</t>
  </si>
  <si>
    <t>Prakash</t>
  </si>
  <si>
    <t>30-01-2024</t>
  </si>
  <si>
    <t>Akash</t>
  </si>
  <si>
    <t>31-01-2024</t>
  </si>
  <si>
    <t>Simran</t>
  </si>
  <si>
    <t>Tarun</t>
  </si>
  <si>
    <t>Muskan</t>
  </si>
  <si>
    <t>Harsh</t>
  </si>
  <si>
    <t>Satyam</t>
  </si>
  <si>
    <t>Sneha</t>
  </si>
  <si>
    <t>Gaurav</t>
  </si>
  <si>
    <t>Priti</t>
  </si>
  <si>
    <t>Dinesh</t>
  </si>
  <si>
    <t>Aarti</t>
  </si>
  <si>
    <t>Manish</t>
  </si>
  <si>
    <t>Jyoti</t>
  </si>
  <si>
    <t>Naveen</t>
  </si>
  <si>
    <t>13-02-2024</t>
  </si>
  <si>
    <t>Komal</t>
  </si>
  <si>
    <t>14-02-2024</t>
  </si>
  <si>
    <t>Suraj</t>
  </si>
  <si>
    <t>15-02-2024</t>
  </si>
  <si>
    <t>Bhavna</t>
  </si>
  <si>
    <t>16-02-2024</t>
  </si>
  <si>
    <t>Kapil</t>
  </si>
  <si>
    <t>17-02-2024</t>
  </si>
  <si>
    <t>Ashok</t>
  </si>
  <si>
    <t>18-02-2024</t>
  </si>
  <si>
    <t>Kunal</t>
  </si>
  <si>
    <t>19-02-2024</t>
  </si>
  <si>
    <t>Ramesh</t>
  </si>
  <si>
    <r>
      <t xml:space="preserve">1️⃣ </t>
    </r>
    <r>
      <rPr>
        <b/>
        <sz val="11"/>
        <color theme="1"/>
        <rFont val="Calibri"/>
        <family val="2"/>
        <scheme val="minor"/>
      </rPr>
      <t>North region ki total sales</t>
    </r>
    <r>
      <rPr>
        <sz val="11"/>
        <color theme="1"/>
        <rFont val="Calibri"/>
        <family val="2"/>
        <scheme val="minor"/>
      </rPr>
      <t xml:space="preserve"> (SUMIF)</t>
    </r>
  </si>
  <si>
    <r>
      <t xml:space="preserve">2️⃣ </t>
    </r>
    <r>
      <rPr>
        <b/>
        <sz val="11"/>
        <color theme="1"/>
        <rFont val="Calibri"/>
        <family val="2"/>
        <scheme val="minor"/>
      </rPr>
      <t>Electronics department ki total sales</t>
    </r>
    <r>
      <rPr>
        <sz val="11"/>
        <color theme="1"/>
        <rFont val="Calibri"/>
        <family val="2"/>
        <scheme val="minor"/>
      </rPr>
      <t xml:space="preserve"> (SUMIF)</t>
    </r>
  </si>
  <si>
    <r>
      <t xml:space="preserve">3️⃣ </t>
    </r>
    <r>
      <rPr>
        <b/>
        <sz val="11"/>
        <color theme="1"/>
        <rFont val="Calibri"/>
        <family val="2"/>
        <scheme val="minor"/>
      </rPr>
      <t>Sales &gt; Target → Achieved / Not Achieved</t>
    </r>
    <r>
      <rPr>
        <sz val="11"/>
        <color theme="1"/>
        <rFont val="Calibri"/>
        <family val="2"/>
        <scheme val="minor"/>
      </rPr>
      <t xml:space="preserve"> (IF)</t>
    </r>
  </si>
  <si>
    <r>
      <t xml:space="preserve">4️⃣ </t>
    </r>
    <r>
      <rPr>
        <b/>
        <sz val="11"/>
        <color theme="1"/>
        <rFont val="Calibri"/>
        <family val="2"/>
        <scheme val="minor"/>
      </rPr>
      <t>Grocery department me kitne records hain</t>
    </r>
    <r>
      <rPr>
        <sz val="11"/>
        <color theme="1"/>
        <rFont val="Calibri"/>
        <family val="2"/>
        <scheme val="minor"/>
      </rPr>
      <t xml:space="preserve"> (COUNTIF)</t>
    </r>
  </si>
  <si>
    <r>
      <t xml:space="preserve">5️⃣ </t>
    </r>
    <r>
      <rPr>
        <b/>
        <sz val="11"/>
        <color theme="1"/>
        <rFont val="Calibri"/>
        <family val="2"/>
        <scheme val="minor"/>
      </rPr>
      <t>South region + Sales &gt; 40000 count</t>
    </r>
    <r>
      <rPr>
        <sz val="11"/>
        <color theme="1"/>
        <rFont val="Calibri"/>
        <family val="2"/>
        <scheme val="minor"/>
      </rPr>
      <t xml:space="preserve"> (COUNTIFS)</t>
    </r>
  </si>
  <si>
    <r>
      <t xml:space="preserve">6️⃣ </t>
    </r>
    <r>
      <rPr>
        <b/>
        <sz val="11"/>
        <color theme="1"/>
        <rFont val="Calibri"/>
        <family val="2"/>
        <scheme val="minor"/>
      </rPr>
      <t>Department wise total sales</t>
    </r>
    <r>
      <rPr>
        <sz val="11"/>
        <color theme="1"/>
        <rFont val="Calibri"/>
        <family val="2"/>
        <scheme val="minor"/>
      </rPr>
      <t xml:space="preserve"> (Pivot Table)</t>
    </r>
  </si>
  <si>
    <r>
      <t xml:space="preserve">1️⃣ </t>
    </r>
    <r>
      <rPr>
        <b/>
        <sz val="11"/>
        <color theme="1"/>
        <rFont val="Calibri"/>
        <family val="2"/>
        <scheme val="minor"/>
      </rPr>
      <t>North region ki total sales</t>
    </r>
    <r>
      <rPr>
        <sz val="11"/>
        <color theme="1"/>
        <rFont val="Calibri"/>
        <family val="2"/>
        <scheme val="minor"/>
      </rPr>
      <t xml:space="preserve"> </t>
    </r>
  </si>
  <si>
    <t>Tsale of north region</t>
  </si>
  <si>
    <r>
      <t xml:space="preserve">2️⃣ </t>
    </r>
    <r>
      <rPr>
        <b/>
        <sz val="11"/>
        <color theme="1"/>
        <rFont val="Calibri"/>
        <family val="2"/>
        <scheme val="minor"/>
      </rPr>
      <t>Electronics department ki total sales</t>
    </r>
  </si>
  <si>
    <t>Status</t>
  </si>
  <si>
    <t>Record</t>
  </si>
  <si>
    <r>
      <t xml:space="preserve">5️⃣ </t>
    </r>
    <r>
      <rPr>
        <b/>
        <sz val="11"/>
        <color theme="1"/>
        <rFont val="Calibri"/>
        <family val="2"/>
        <scheme val="minor"/>
      </rPr>
      <t>South region + Sales &gt; 40000 count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</si>
  <si>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4️⃣ </t>
    </r>
    <r>
      <rPr>
        <b/>
        <sz val="11"/>
        <color theme="1"/>
        <rFont val="Calibri"/>
        <family val="2"/>
        <scheme val="minor"/>
      </rPr>
      <t>Grocery department me kitne records hain</t>
    </r>
    <r>
      <rPr>
        <sz val="11"/>
        <color theme="1"/>
        <rFont val="Calibri"/>
        <family val="2"/>
        <scheme val="minor"/>
      </rPr>
      <t xml:space="preserve"> </t>
    </r>
  </si>
  <si>
    <t>Row Labels</t>
  </si>
  <si>
    <t>Grand Total</t>
  </si>
  <si>
    <t>Sum of Sales</t>
  </si>
  <si>
    <t>Sales &gt; 50000 AND Department = Electronics</t>
  </si>
  <si>
    <t>→ Bonus = 5000</t>
  </si>
  <si>
    <t>→ Otherwise = 0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</si>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</sst>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1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1" fillId="2" borderId="0" xfId="0" applyFont="1" applyFill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74" fontId="0" fillId="0" borderId="2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174" fontId="0" fillId="0" borderId="7" xfId="0" applyNumberFormat="1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1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>
          <bgColor theme="5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4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Kumar Jaiswal" refreshedDate="46097.743332754631" createdVersion="8" refreshedVersion="8" minRefreshableVersion="3" recordCount="50" xr:uid="{EE16D1D1-BF81-47B6-9E71-113944B9B423}">
  <cacheSource type="worksheet">
    <worksheetSource ref="A1:G51" sheet="solution3"/>
  </cacheSource>
  <cacheFields count="7">
    <cacheField name="Date" numFmtId="174">
      <sharedItems containsSemiMixedTypes="0" containsNonDate="0" containsDate="1" containsString="0" minDate="2024-01-01T00:00:00" maxDate="2024-02-20T00:00:00"/>
    </cacheField>
    <cacheField name="Salesman" numFmtId="0">
      <sharedItems/>
    </cacheField>
    <cacheField name="Region" numFmtId="0">
      <sharedItems/>
    </cacheField>
    <cacheField name="Department" numFmtId="0">
      <sharedItems count="4">
        <s v="Electronics"/>
        <s v="Grocery"/>
        <s v="Clothing"/>
        <s v="Furniture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25500" maxValue="70000"/>
    </cacheField>
    <cacheField name="Target" numFmtId="0">
      <sharedItems containsSemiMixedTypes="0" containsString="0" containsNumber="1" containsInteger="1" minValue="30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4-01-01T00:00:00"/>
    <s v="Amit"/>
    <s v="North"/>
    <x v="0"/>
    <s v="Laptop"/>
    <n v="55000"/>
    <n v="50000"/>
  </r>
  <r>
    <d v="2024-01-02T00:00:00"/>
    <s v="Rahul"/>
    <s v="East"/>
    <x v="1"/>
    <s v="Rice"/>
    <n v="32000"/>
    <n v="35000"/>
  </r>
  <r>
    <d v="2024-01-03T00:00:00"/>
    <s v="Pooja"/>
    <s v="West"/>
    <x v="2"/>
    <s v="Shirt"/>
    <n v="28000"/>
    <n v="30000"/>
  </r>
  <r>
    <d v="2024-01-04T00:00:00"/>
    <s v="Neha"/>
    <s v="South"/>
    <x v="0"/>
    <s v="Mobile"/>
    <n v="52000"/>
    <n v="45000"/>
  </r>
  <r>
    <d v="2024-01-05T00:00:00"/>
    <s v="Rakesh"/>
    <s v="North"/>
    <x v="3"/>
    <s v="Table"/>
    <n v="61000"/>
    <n v="50000"/>
  </r>
  <r>
    <d v="2024-01-06T00:00:00"/>
    <s v="Vikash"/>
    <s v="East"/>
    <x v="1"/>
    <s v="Oil"/>
    <n v="39000"/>
    <n v="35000"/>
  </r>
  <r>
    <d v="2024-01-07T00:00:00"/>
    <s v="Anjali"/>
    <s v="South"/>
    <x v="2"/>
    <s v="Jeans"/>
    <n v="47000"/>
    <n v="40000"/>
  </r>
  <r>
    <d v="2024-01-08T00:00:00"/>
    <s v="Rohit"/>
    <s v="West"/>
    <x v="0"/>
    <s v="TV"/>
    <n v="55000"/>
    <n v="50000"/>
  </r>
  <r>
    <d v="2024-01-09T00:00:00"/>
    <s v="Deepak"/>
    <s v="North"/>
    <x v="3"/>
    <s v="Chair"/>
    <n v="26000"/>
    <n v="30000"/>
  </r>
  <r>
    <d v="2024-01-10T00:00:00"/>
    <s v="Kiran"/>
    <s v="South"/>
    <x v="1"/>
    <s v="Sugar"/>
    <n v="31000"/>
    <n v="30000"/>
  </r>
  <r>
    <d v="2024-01-11T00:00:00"/>
    <s v="Sunil"/>
    <s v="East"/>
    <x v="0"/>
    <s v="Laptop"/>
    <n v="48000"/>
    <n v="45000"/>
  </r>
  <r>
    <d v="2024-01-12T00:00:00"/>
    <s v="Shweta"/>
    <s v="West"/>
    <x v="2"/>
    <s v="Jacket"/>
    <n v="34000"/>
    <n v="30000"/>
  </r>
  <r>
    <d v="2024-01-13T00:00:00"/>
    <s v="Manoj"/>
    <s v="South"/>
    <x v="3"/>
    <s v="Bed"/>
    <n v="42000"/>
    <n v="40000"/>
  </r>
  <r>
    <d v="2024-01-14T00:00:00"/>
    <s v="Abhishek"/>
    <s v="North"/>
    <x v="0"/>
    <s v="Mobile"/>
    <n v="70000"/>
    <n v="60000"/>
  </r>
  <r>
    <d v="2024-01-15T00:00:00"/>
    <s v="Nisha"/>
    <s v="West"/>
    <x v="1"/>
    <s v="Wheat"/>
    <n v="29000"/>
    <n v="30000"/>
  </r>
  <r>
    <d v="2024-01-16T00:00:00"/>
    <s v="Ajay"/>
    <s v="East"/>
    <x v="2"/>
    <s v="Kurta"/>
    <n v="51000"/>
    <n v="45000"/>
  </r>
  <r>
    <d v="2024-01-17T00:00:00"/>
    <s v="Ritu"/>
    <s v="South"/>
    <x v="3"/>
    <s v="Sofa"/>
    <n v="36000"/>
    <n v="35000"/>
  </r>
  <r>
    <d v="2024-01-18T00:00:00"/>
    <s v="Mohit"/>
    <s v="North"/>
    <x v="0"/>
    <s v="TV"/>
    <n v="62000"/>
    <n v="55000"/>
  </r>
  <r>
    <d v="2024-01-19T00:00:00"/>
    <s v="Rajesh"/>
    <s v="West"/>
    <x v="1"/>
    <s v="Tea"/>
    <n v="27000"/>
    <n v="30000"/>
  </r>
  <r>
    <d v="2024-01-20T00:00:00"/>
    <s v="Pankaj"/>
    <s v="South"/>
    <x v="2"/>
    <s v="T-shirt"/>
    <n v="33000"/>
    <n v="30000"/>
  </r>
  <r>
    <d v="2024-01-21T00:00:00"/>
    <s v="Sonali"/>
    <s v="East"/>
    <x v="0"/>
    <s v="Laptop"/>
    <n v="54000"/>
    <n v="50000"/>
  </r>
  <r>
    <d v="2024-01-22T00:00:00"/>
    <s v="Vivek"/>
    <s v="North"/>
    <x v="3"/>
    <s v="Table"/>
    <n v="46000"/>
    <n v="45000"/>
  </r>
  <r>
    <d v="2024-01-23T00:00:00"/>
    <s v="Alok"/>
    <s v="South"/>
    <x v="1"/>
    <s v="Rice"/>
    <n v="30000"/>
    <n v="30000"/>
  </r>
  <r>
    <d v="2024-01-24T00:00:00"/>
    <s v="Kavita"/>
    <s v="West"/>
    <x v="2"/>
    <s v="Jeans"/>
    <n v="37000"/>
    <n v="35000"/>
  </r>
  <r>
    <d v="2024-01-25T00:00:00"/>
    <s v="Rohan"/>
    <s v="East"/>
    <x v="0"/>
    <s v="Mobile"/>
    <n v="58000"/>
    <n v="55000"/>
  </r>
  <r>
    <d v="2024-01-26T00:00:00"/>
    <s v="Meena"/>
    <s v="South"/>
    <x v="3"/>
    <s v="Chair"/>
    <n v="41000"/>
    <n v="40000"/>
  </r>
  <r>
    <d v="2024-01-27T00:00:00"/>
    <s v="Sandeep"/>
    <s v="North"/>
    <x v="1"/>
    <s v="Sugar"/>
    <n v="35000"/>
    <n v="35000"/>
  </r>
  <r>
    <d v="2024-01-28T00:00:00"/>
    <s v="Payal"/>
    <s v="East"/>
    <x v="2"/>
    <s v="Shirt"/>
    <n v="26000"/>
    <n v="30000"/>
  </r>
  <r>
    <d v="2024-01-29T00:00:00"/>
    <s v="Prakash"/>
    <s v="West"/>
    <x v="0"/>
    <s v="TV"/>
    <n v="49000"/>
    <n v="45000"/>
  </r>
  <r>
    <d v="2024-01-30T00:00:00"/>
    <s v="Akash"/>
    <s v="South"/>
    <x v="3"/>
    <s v="Bed"/>
    <n v="44000"/>
    <n v="40000"/>
  </r>
  <r>
    <d v="2024-01-31T00:00:00"/>
    <s v="Simran"/>
    <s v="North"/>
    <x v="1"/>
    <s v="Oil"/>
    <n v="38000"/>
    <n v="35000"/>
  </r>
  <r>
    <d v="2024-02-01T00:00:00"/>
    <s v="Tarun"/>
    <s v="East"/>
    <x v="2"/>
    <s v="Jacket"/>
    <n v="52000"/>
    <n v="45000"/>
  </r>
  <r>
    <d v="2024-02-02T00:00:00"/>
    <s v="Muskan"/>
    <s v="South"/>
    <x v="0"/>
    <s v="Laptop"/>
    <n v="31000"/>
    <n v="40000"/>
  </r>
  <r>
    <d v="2024-02-03T00:00:00"/>
    <s v="Harsh"/>
    <s v="West"/>
    <x v="3"/>
    <s v="Sofa"/>
    <n v="57000"/>
    <n v="50000"/>
  </r>
  <r>
    <d v="2024-02-04T00:00:00"/>
    <s v="Satyam"/>
    <s v="East"/>
    <x v="1"/>
    <s v="Wheat"/>
    <n v="29500"/>
    <n v="30000"/>
  </r>
  <r>
    <d v="2024-02-05T00:00:00"/>
    <s v="Sneha"/>
    <s v="North"/>
    <x v="2"/>
    <s v="Kurta"/>
    <n v="46500"/>
    <n v="45000"/>
  </r>
  <r>
    <d v="2024-02-06T00:00:00"/>
    <s v="Gaurav"/>
    <s v="South"/>
    <x v="0"/>
    <s v="Mobile"/>
    <n v="61000"/>
    <n v="55000"/>
  </r>
  <r>
    <d v="2024-02-07T00:00:00"/>
    <s v="Priti"/>
    <s v="East"/>
    <x v="3"/>
    <s v="Table"/>
    <n v="35500"/>
    <n v="35000"/>
  </r>
  <r>
    <d v="2024-02-08T00:00:00"/>
    <s v="Dinesh"/>
    <s v="West"/>
    <x v="1"/>
    <s v="Tea"/>
    <n v="27500"/>
    <n v="30000"/>
  </r>
  <r>
    <d v="2024-02-09T00:00:00"/>
    <s v="Aarti"/>
    <s v="South"/>
    <x v="2"/>
    <s v="T-shirt"/>
    <n v="33500"/>
    <n v="30000"/>
  </r>
  <r>
    <d v="2024-02-10T00:00:00"/>
    <s v="Manish"/>
    <s v="North"/>
    <x v="0"/>
    <s v="TV"/>
    <n v="68000"/>
    <n v="60000"/>
  </r>
  <r>
    <d v="2024-02-11T00:00:00"/>
    <s v="Jyoti"/>
    <s v="East"/>
    <x v="3"/>
    <s v="Chair"/>
    <n v="43000"/>
    <n v="40000"/>
  </r>
  <r>
    <d v="2024-02-12T00:00:00"/>
    <s v="Naveen"/>
    <s v="South"/>
    <x v="1"/>
    <s v="Rice"/>
    <n v="31500"/>
    <n v="30000"/>
  </r>
  <r>
    <d v="2024-02-13T00:00:00"/>
    <s v="Komal"/>
    <s v="West"/>
    <x v="2"/>
    <s v="Jeans"/>
    <n v="25500"/>
    <n v="30000"/>
  </r>
  <r>
    <d v="2024-02-14T00:00:00"/>
    <s v="Suraj"/>
    <s v="East"/>
    <x v="0"/>
    <s v="Laptop"/>
    <n v="60000"/>
    <n v="55000"/>
  </r>
  <r>
    <d v="2024-02-15T00:00:00"/>
    <s v="Bhavna"/>
    <s v="North"/>
    <x v="3"/>
    <s v="Bed"/>
    <n v="47000"/>
    <n v="45000"/>
  </r>
  <r>
    <d v="2024-02-16T00:00:00"/>
    <s v="Kapil"/>
    <s v="South"/>
    <x v="1"/>
    <s v="Oil"/>
    <n v="36000"/>
    <n v="35000"/>
  </r>
  <r>
    <d v="2024-02-17T00:00:00"/>
    <s v="Ashok"/>
    <s v="West"/>
    <x v="2"/>
    <s v="Shirt"/>
    <n v="41000"/>
    <n v="35000"/>
  </r>
  <r>
    <d v="2024-02-18T00:00:00"/>
    <s v="Kunal"/>
    <s v="North"/>
    <x v="0"/>
    <s v="Mobile"/>
    <n v="53000"/>
    <n v="50000"/>
  </r>
  <r>
    <d v="2024-02-19T00:00:00"/>
    <s v="Ramesh"/>
    <s v="East"/>
    <x v="3"/>
    <s v="Sofa"/>
    <n v="39000"/>
    <n v="3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0E3A3-7AEE-43D3-9162-0E3105148EE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10" firstHeaderRow="1" firstDataRow="1" firstDataCol="1"/>
  <pivotFields count="7">
    <pivotField numFmtId="174"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FEDA3-F1FB-47BE-8A6D-03FF281256C7}" name="Table1" displayName="Table1" ref="A1:G51" totalsRowShown="0" headerRowDxfId="18" dataDxfId="17" headerRowBorderDxfId="15" tableBorderDxfId="16" totalsRowBorderDxfId="14">
  <autoFilter ref="A1:G51" xr:uid="{068FEDA3-F1FB-47BE-8A6D-03FF281256C7}"/>
  <tableColumns count="7">
    <tableColumn id="1" xr3:uid="{6F6AD238-4855-4FD4-8A68-27AFEC19E8C5}" name="Date" dataDxfId="13"/>
    <tableColumn id="2" xr3:uid="{7DC13C00-1517-45AC-8775-FFB8C2E46C66}" name="Salesman" dataDxfId="12"/>
    <tableColumn id="3" xr3:uid="{D1154842-A5A6-4F72-8CB3-BE12A13EB3EF}" name="Region" dataDxfId="11"/>
    <tableColumn id="4" xr3:uid="{00DB3609-977D-4136-8943-65F584A6A105}" name="Department" dataDxfId="10"/>
    <tableColumn id="5" xr3:uid="{3804830D-90F8-4BD2-9AA6-309A1BCF8A44}" name="Product" dataDxfId="9"/>
    <tableColumn id="6" xr3:uid="{3A898F62-B175-410F-A4F4-795F547AC724}" name="Sales" dataDxfId="8"/>
    <tableColumn id="7" xr3:uid="{B5469D6C-51B2-4AAA-A152-4D39D6720261}" name="Targe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B0ED-C09A-443C-B962-4EFE5FEC90C9}">
  <sheetPr>
    <tabColor rgb="FFFFFF00"/>
  </sheetPr>
  <dimension ref="A1:K51"/>
  <sheetViews>
    <sheetView workbookViewId="0">
      <selection activeCell="I7" sqref="I7:K7"/>
    </sheetView>
  </sheetViews>
  <sheetFormatPr defaultColWidth="16.6640625" defaultRowHeight="14.4" x14ac:dyDescent="0.3"/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11" x14ac:dyDescent="0.3">
      <c r="A2" s="4">
        <v>45292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55000</v>
      </c>
      <c r="G2" s="1">
        <v>50000</v>
      </c>
      <c r="I2" s="5" t="s">
        <v>108</v>
      </c>
      <c r="J2" s="5"/>
      <c r="K2" s="6"/>
    </row>
    <row r="3" spans="1:11" x14ac:dyDescent="0.3">
      <c r="A3" s="4">
        <v>45323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32000</v>
      </c>
      <c r="G3" s="1">
        <v>35000</v>
      </c>
      <c r="I3" s="5" t="s">
        <v>109</v>
      </c>
      <c r="J3" s="5"/>
      <c r="K3" s="5"/>
    </row>
    <row r="4" spans="1:11" x14ac:dyDescent="0.3">
      <c r="A4" s="4">
        <v>45352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28000</v>
      </c>
      <c r="G4" s="1">
        <v>30000</v>
      </c>
      <c r="I4" s="5" t="s">
        <v>110</v>
      </c>
      <c r="J4" s="5"/>
      <c r="K4" s="5"/>
    </row>
    <row r="5" spans="1:11" x14ac:dyDescent="0.3">
      <c r="A5" s="4">
        <v>45383</v>
      </c>
      <c r="B5" s="1" t="s">
        <v>19</v>
      </c>
      <c r="C5" s="1" t="s">
        <v>20</v>
      </c>
      <c r="D5" s="1" t="s">
        <v>9</v>
      </c>
      <c r="E5" s="1" t="s">
        <v>21</v>
      </c>
      <c r="F5" s="1">
        <v>52000</v>
      </c>
      <c r="G5" s="1">
        <v>45000</v>
      </c>
      <c r="I5" s="5" t="s">
        <v>111</v>
      </c>
      <c r="J5" s="5"/>
      <c r="K5" s="5"/>
    </row>
    <row r="6" spans="1:11" x14ac:dyDescent="0.3">
      <c r="A6" s="4">
        <v>45413</v>
      </c>
      <c r="B6" s="1" t="s">
        <v>22</v>
      </c>
      <c r="C6" s="1" t="s">
        <v>8</v>
      </c>
      <c r="D6" s="1" t="s">
        <v>23</v>
      </c>
      <c r="E6" s="1" t="s">
        <v>24</v>
      </c>
      <c r="F6" s="1">
        <v>61000</v>
      </c>
      <c r="G6" s="1">
        <v>50000</v>
      </c>
      <c r="I6" s="5" t="s">
        <v>112</v>
      </c>
      <c r="J6" s="5"/>
      <c r="K6" s="5"/>
    </row>
    <row r="7" spans="1:11" x14ac:dyDescent="0.3">
      <c r="A7" s="4">
        <v>45444</v>
      </c>
      <c r="B7" s="1" t="s">
        <v>25</v>
      </c>
      <c r="C7" s="1" t="s">
        <v>12</v>
      </c>
      <c r="D7" s="1" t="s">
        <v>13</v>
      </c>
      <c r="E7" s="1" t="s">
        <v>26</v>
      </c>
      <c r="F7" s="1">
        <v>39000</v>
      </c>
      <c r="G7" s="1">
        <v>35000</v>
      </c>
      <c r="I7" s="5" t="s">
        <v>113</v>
      </c>
      <c r="J7" s="5"/>
      <c r="K7" s="5"/>
    </row>
    <row r="8" spans="1:11" x14ac:dyDescent="0.3">
      <c r="A8" s="4">
        <v>45474</v>
      </c>
      <c r="B8" s="1" t="s">
        <v>27</v>
      </c>
      <c r="C8" s="1" t="s">
        <v>20</v>
      </c>
      <c r="D8" s="1" t="s">
        <v>17</v>
      </c>
      <c r="E8" s="1" t="s">
        <v>28</v>
      </c>
      <c r="F8" s="1">
        <v>47000</v>
      </c>
      <c r="G8" s="1">
        <v>40000</v>
      </c>
    </row>
    <row r="9" spans="1:11" x14ac:dyDescent="0.3">
      <c r="A9" s="4">
        <v>45505</v>
      </c>
      <c r="B9" s="1" t="s">
        <v>29</v>
      </c>
      <c r="C9" s="1" t="s">
        <v>16</v>
      </c>
      <c r="D9" s="1" t="s">
        <v>9</v>
      </c>
      <c r="E9" s="1" t="s">
        <v>30</v>
      </c>
      <c r="F9" s="1">
        <v>55000</v>
      </c>
      <c r="G9" s="1">
        <v>50000</v>
      </c>
    </row>
    <row r="10" spans="1:11" x14ac:dyDescent="0.3">
      <c r="A10" s="4">
        <v>45536</v>
      </c>
      <c r="B10" s="1" t="s">
        <v>31</v>
      </c>
      <c r="C10" s="1" t="s">
        <v>8</v>
      </c>
      <c r="D10" s="1" t="s">
        <v>23</v>
      </c>
      <c r="E10" s="1" t="s">
        <v>32</v>
      </c>
      <c r="F10" s="1">
        <v>26000</v>
      </c>
      <c r="G10" s="1">
        <v>30000</v>
      </c>
    </row>
    <row r="11" spans="1:11" x14ac:dyDescent="0.3">
      <c r="A11" s="4">
        <v>45566</v>
      </c>
      <c r="B11" s="1" t="s">
        <v>33</v>
      </c>
      <c r="C11" s="1" t="s">
        <v>20</v>
      </c>
      <c r="D11" s="1" t="s">
        <v>13</v>
      </c>
      <c r="E11" s="1" t="s">
        <v>34</v>
      </c>
      <c r="F11" s="1">
        <v>31000</v>
      </c>
      <c r="G11" s="1">
        <v>30000</v>
      </c>
    </row>
    <row r="12" spans="1:11" x14ac:dyDescent="0.3">
      <c r="A12" s="4">
        <v>45597</v>
      </c>
      <c r="B12" s="1" t="s">
        <v>35</v>
      </c>
      <c r="C12" s="1" t="s">
        <v>12</v>
      </c>
      <c r="D12" s="1" t="s">
        <v>9</v>
      </c>
      <c r="E12" s="1" t="s">
        <v>10</v>
      </c>
      <c r="F12" s="1">
        <v>48000</v>
      </c>
      <c r="G12" s="1">
        <v>45000</v>
      </c>
    </row>
    <row r="13" spans="1:11" x14ac:dyDescent="0.3">
      <c r="A13" s="4">
        <v>45627</v>
      </c>
      <c r="B13" s="1" t="s">
        <v>36</v>
      </c>
      <c r="C13" s="1" t="s">
        <v>16</v>
      </c>
      <c r="D13" s="1" t="s">
        <v>17</v>
      </c>
      <c r="E13" s="1" t="s">
        <v>37</v>
      </c>
      <c r="F13" s="1">
        <v>34000</v>
      </c>
      <c r="G13" s="1">
        <v>30000</v>
      </c>
    </row>
    <row r="14" spans="1:11" x14ac:dyDescent="0.3">
      <c r="A14" s="1" t="s">
        <v>38</v>
      </c>
      <c r="B14" s="1" t="s">
        <v>39</v>
      </c>
      <c r="C14" s="1" t="s">
        <v>20</v>
      </c>
      <c r="D14" s="1" t="s">
        <v>23</v>
      </c>
      <c r="E14" s="1" t="s">
        <v>40</v>
      </c>
      <c r="F14" s="1">
        <v>42000</v>
      </c>
      <c r="G14" s="1">
        <v>40000</v>
      </c>
    </row>
    <row r="15" spans="1:11" x14ac:dyDescent="0.3">
      <c r="A15" s="1" t="s">
        <v>41</v>
      </c>
      <c r="B15" s="1" t="s">
        <v>42</v>
      </c>
      <c r="C15" s="1" t="s">
        <v>8</v>
      </c>
      <c r="D15" s="1" t="s">
        <v>9</v>
      </c>
      <c r="E15" s="1" t="s">
        <v>21</v>
      </c>
      <c r="F15" s="1">
        <v>70000</v>
      </c>
      <c r="G15" s="1">
        <v>60000</v>
      </c>
    </row>
    <row r="16" spans="1:11" x14ac:dyDescent="0.3">
      <c r="A16" s="1" t="s">
        <v>43</v>
      </c>
      <c r="B16" s="1" t="s">
        <v>44</v>
      </c>
      <c r="C16" s="1" t="s">
        <v>16</v>
      </c>
      <c r="D16" s="1" t="s">
        <v>13</v>
      </c>
      <c r="E16" s="1" t="s">
        <v>45</v>
      </c>
      <c r="F16" s="1">
        <v>29000</v>
      </c>
      <c r="G16" s="1">
        <v>30000</v>
      </c>
    </row>
    <row r="17" spans="1:7" x14ac:dyDescent="0.3">
      <c r="A17" s="1" t="s">
        <v>46</v>
      </c>
      <c r="B17" s="1" t="s">
        <v>47</v>
      </c>
      <c r="C17" s="1" t="s">
        <v>12</v>
      </c>
      <c r="D17" s="1" t="s">
        <v>17</v>
      </c>
      <c r="E17" s="1" t="s">
        <v>48</v>
      </c>
      <c r="F17" s="1">
        <v>51000</v>
      </c>
      <c r="G17" s="1">
        <v>45000</v>
      </c>
    </row>
    <row r="18" spans="1:7" x14ac:dyDescent="0.3">
      <c r="A18" s="1" t="s">
        <v>49</v>
      </c>
      <c r="B18" s="1" t="s">
        <v>50</v>
      </c>
      <c r="C18" s="1" t="s">
        <v>20</v>
      </c>
      <c r="D18" s="1" t="s">
        <v>23</v>
      </c>
      <c r="E18" s="1" t="s">
        <v>51</v>
      </c>
      <c r="F18" s="1">
        <v>36000</v>
      </c>
      <c r="G18" s="1">
        <v>35000</v>
      </c>
    </row>
    <row r="19" spans="1:7" x14ac:dyDescent="0.3">
      <c r="A19" s="1" t="s">
        <v>52</v>
      </c>
      <c r="B19" s="1" t="s">
        <v>53</v>
      </c>
      <c r="C19" s="1" t="s">
        <v>8</v>
      </c>
      <c r="D19" s="1" t="s">
        <v>9</v>
      </c>
      <c r="E19" s="1" t="s">
        <v>30</v>
      </c>
      <c r="F19" s="1">
        <v>62000</v>
      </c>
      <c r="G19" s="1">
        <v>55000</v>
      </c>
    </row>
    <row r="20" spans="1:7" x14ac:dyDescent="0.3">
      <c r="A20" s="1" t="s">
        <v>54</v>
      </c>
      <c r="B20" s="1" t="s">
        <v>55</v>
      </c>
      <c r="C20" s="1" t="s">
        <v>16</v>
      </c>
      <c r="D20" s="1" t="s">
        <v>13</v>
      </c>
      <c r="E20" s="1" t="s">
        <v>56</v>
      </c>
      <c r="F20" s="1">
        <v>27000</v>
      </c>
      <c r="G20" s="1">
        <v>30000</v>
      </c>
    </row>
    <row r="21" spans="1:7" x14ac:dyDescent="0.3">
      <c r="A21" s="1" t="s">
        <v>57</v>
      </c>
      <c r="B21" s="1" t="s">
        <v>58</v>
      </c>
      <c r="C21" s="1" t="s">
        <v>20</v>
      </c>
      <c r="D21" s="1" t="s">
        <v>17</v>
      </c>
      <c r="E21" s="1" t="s">
        <v>59</v>
      </c>
      <c r="F21" s="1">
        <v>33000</v>
      </c>
      <c r="G21" s="1">
        <v>30000</v>
      </c>
    </row>
    <row r="22" spans="1:7" x14ac:dyDescent="0.3">
      <c r="A22" s="1" t="s">
        <v>60</v>
      </c>
      <c r="B22" s="1" t="s">
        <v>61</v>
      </c>
      <c r="C22" s="1" t="s">
        <v>12</v>
      </c>
      <c r="D22" s="1" t="s">
        <v>9</v>
      </c>
      <c r="E22" s="1" t="s">
        <v>10</v>
      </c>
      <c r="F22" s="1">
        <v>54000</v>
      </c>
      <c r="G22" s="1">
        <v>50000</v>
      </c>
    </row>
    <row r="23" spans="1:7" x14ac:dyDescent="0.3">
      <c r="A23" s="1" t="s">
        <v>62</v>
      </c>
      <c r="B23" s="1" t="s">
        <v>63</v>
      </c>
      <c r="C23" s="1" t="s">
        <v>8</v>
      </c>
      <c r="D23" s="1" t="s">
        <v>23</v>
      </c>
      <c r="E23" s="1" t="s">
        <v>24</v>
      </c>
      <c r="F23" s="1">
        <v>46000</v>
      </c>
      <c r="G23" s="1">
        <v>45000</v>
      </c>
    </row>
    <row r="24" spans="1:7" x14ac:dyDescent="0.3">
      <c r="A24" s="1" t="s">
        <v>64</v>
      </c>
      <c r="B24" s="1" t="s">
        <v>65</v>
      </c>
      <c r="C24" s="1" t="s">
        <v>20</v>
      </c>
      <c r="D24" s="1" t="s">
        <v>13</v>
      </c>
      <c r="E24" s="1" t="s">
        <v>14</v>
      </c>
      <c r="F24" s="1">
        <v>30000</v>
      </c>
      <c r="G24" s="1">
        <v>30000</v>
      </c>
    </row>
    <row r="25" spans="1:7" x14ac:dyDescent="0.3">
      <c r="A25" s="1" t="s">
        <v>66</v>
      </c>
      <c r="B25" s="1" t="s">
        <v>67</v>
      </c>
      <c r="C25" s="1" t="s">
        <v>16</v>
      </c>
      <c r="D25" s="1" t="s">
        <v>17</v>
      </c>
      <c r="E25" s="1" t="s">
        <v>28</v>
      </c>
      <c r="F25" s="1">
        <v>37000</v>
      </c>
      <c r="G25" s="1">
        <v>35000</v>
      </c>
    </row>
    <row r="26" spans="1:7" x14ac:dyDescent="0.3">
      <c r="A26" s="1" t="s">
        <v>68</v>
      </c>
      <c r="B26" s="1" t="s">
        <v>69</v>
      </c>
      <c r="C26" s="1" t="s">
        <v>12</v>
      </c>
      <c r="D26" s="1" t="s">
        <v>9</v>
      </c>
      <c r="E26" s="1" t="s">
        <v>21</v>
      </c>
      <c r="F26" s="1">
        <v>58000</v>
      </c>
      <c r="G26" s="1">
        <v>55000</v>
      </c>
    </row>
    <row r="27" spans="1:7" x14ac:dyDescent="0.3">
      <c r="A27" s="1" t="s">
        <v>70</v>
      </c>
      <c r="B27" s="1" t="s">
        <v>71</v>
      </c>
      <c r="C27" s="1" t="s">
        <v>20</v>
      </c>
      <c r="D27" s="1" t="s">
        <v>23</v>
      </c>
      <c r="E27" s="1" t="s">
        <v>32</v>
      </c>
      <c r="F27" s="1">
        <v>41000</v>
      </c>
      <c r="G27" s="1">
        <v>40000</v>
      </c>
    </row>
    <row r="28" spans="1:7" x14ac:dyDescent="0.3">
      <c r="A28" s="1" t="s">
        <v>72</v>
      </c>
      <c r="B28" s="1" t="s">
        <v>73</v>
      </c>
      <c r="C28" s="1" t="s">
        <v>8</v>
      </c>
      <c r="D28" s="1" t="s">
        <v>13</v>
      </c>
      <c r="E28" s="1" t="s">
        <v>34</v>
      </c>
      <c r="F28" s="1">
        <v>35000</v>
      </c>
      <c r="G28" s="1">
        <v>35000</v>
      </c>
    </row>
    <row r="29" spans="1:7" x14ac:dyDescent="0.3">
      <c r="A29" s="1" t="s">
        <v>74</v>
      </c>
      <c r="B29" s="1" t="s">
        <v>75</v>
      </c>
      <c r="C29" s="1" t="s">
        <v>12</v>
      </c>
      <c r="D29" s="1" t="s">
        <v>17</v>
      </c>
      <c r="E29" s="1" t="s">
        <v>18</v>
      </c>
      <c r="F29" s="1">
        <v>26000</v>
      </c>
      <c r="G29" s="1">
        <v>30000</v>
      </c>
    </row>
    <row r="30" spans="1:7" x14ac:dyDescent="0.3">
      <c r="A30" s="1" t="s">
        <v>76</v>
      </c>
      <c r="B30" s="1" t="s">
        <v>77</v>
      </c>
      <c r="C30" s="1" t="s">
        <v>16</v>
      </c>
      <c r="D30" s="1" t="s">
        <v>9</v>
      </c>
      <c r="E30" s="1" t="s">
        <v>30</v>
      </c>
      <c r="F30" s="1">
        <v>49000</v>
      </c>
      <c r="G30" s="1">
        <v>45000</v>
      </c>
    </row>
    <row r="31" spans="1:7" x14ac:dyDescent="0.3">
      <c r="A31" s="1" t="s">
        <v>78</v>
      </c>
      <c r="B31" s="1" t="s">
        <v>79</v>
      </c>
      <c r="C31" s="1" t="s">
        <v>20</v>
      </c>
      <c r="D31" s="1" t="s">
        <v>23</v>
      </c>
      <c r="E31" s="1" t="s">
        <v>40</v>
      </c>
      <c r="F31" s="1">
        <v>44000</v>
      </c>
      <c r="G31" s="1">
        <v>40000</v>
      </c>
    </row>
    <row r="32" spans="1:7" x14ac:dyDescent="0.3">
      <c r="A32" s="1" t="s">
        <v>80</v>
      </c>
      <c r="B32" s="1" t="s">
        <v>81</v>
      </c>
      <c r="C32" s="1" t="s">
        <v>8</v>
      </c>
      <c r="D32" s="1" t="s">
        <v>13</v>
      </c>
      <c r="E32" s="1" t="s">
        <v>26</v>
      </c>
      <c r="F32" s="1">
        <v>38000</v>
      </c>
      <c r="G32" s="1">
        <v>35000</v>
      </c>
    </row>
    <row r="33" spans="1:7" x14ac:dyDescent="0.3">
      <c r="A33" s="4">
        <v>45293</v>
      </c>
      <c r="B33" s="1" t="s">
        <v>82</v>
      </c>
      <c r="C33" s="1" t="s">
        <v>12</v>
      </c>
      <c r="D33" s="1" t="s">
        <v>17</v>
      </c>
      <c r="E33" s="1" t="s">
        <v>37</v>
      </c>
      <c r="F33" s="1">
        <v>52000</v>
      </c>
      <c r="G33" s="1">
        <v>45000</v>
      </c>
    </row>
    <row r="34" spans="1:7" x14ac:dyDescent="0.3">
      <c r="A34" s="4">
        <v>45324</v>
      </c>
      <c r="B34" s="1" t="s">
        <v>83</v>
      </c>
      <c r="C34" s="1" t="s">
        <v>20</v>
      </c>
      <c r="D34" s="1" t="s">
        <v>9</v>
      </c>
      <c r="E34" s="1" t="s">
        <v>10</v>
      </c>
      <c r="F34" s="1">
        <v>31000</v>
      </c>
      <c r="G34" s="1">
        <v>40000</v>
      </c>
    </row>
    <row r="35" spans="1:7" x14ac:dyDescent="0.3">
      <c r="A35" s="4">
        <v>45353</v>
      </c>
      <c r="B35" s="1" t="s">
        <v>84</v>
      </c>
      <c r="C35" s="1" t="s">
        <v>16</v>
      </c>
      <c r="D35" s="1" t="s">
        <v>23</v>
      </c>
      <c r="E35" s="1" t="s">
        <v>51</v>
      </c>
      <c r="F35" s="1">
        <v>57000</v>
      </c>
      <c r="G35" s="1">
        <v>50000</v>
      </c>
    </row>
    <row r="36" spans="1:7" x14ac:dyDescent="0.3">
      <c r="A36" s="4">
        <v>45384</v>
      </c>
      <c r="B36" s="1" t="s">
        <v>85</v>
      </c>
      <c r="C36" s="1" t="s">
        <v>12</v>
      </c>
      <c r="D36" s="1" t="s">
        <v>13</v>
      </c>
      <c r="E36" s="1" t="s">
        <v>45</v>
      </c>
      <c r="F36" s="1">
        <v>29500</v>
      </c>
      <c r="G36" s="1">
        <v>30000</v>
      </c>
    </row>
    <row r="37" spans="1:7" x14ac:dyDescent="0.3">
      <c r="A37" s="4">
        <v>45414</v>
      </c>
      <c r="B37" s="1" t="s">
        <v>86</v>
      </c>
      <c r="C37" s="1" t="s">
        <v>8</v>
      </c>
      <c r="D37" s="1" t="s">
        <v>17</v>
      </c>
      <c r="E37" s="1" t="s">
        <v>48</v>
      </c>
      <c r="F37" s="1">
        <v>46500</v>
      </c>
      <c r="G37" s="1">
        <v>45000</v>
      </c>
    </row>
    <row r="38" spans="1:7" x14ac:dyDescent="0.3">
      <c r="A38" s="4">
        <v>45445</v>
      </c>
      <c r="B38" s="1" t="s">
        <v>87</v>
      </c>
      <c r="C38" s="1" t="s">
        <v>20</v>
      </c>
      <c r="D38" s="1" t="s">
        <v>9</v>
      </c>
      <c r="E38" s="1" t="s">
        <v>21</v>
      </c>
      <c r="F38" s="1">
        <v>61000</v>
      </c>
      <c r="G38" s="1">
        <v>55000</v>
      </c>
    </row>
    <row r="39" spans="1:7" x14ac:dyDescent="0.3">
      <c r="A39" s="4">
        <v>45475</v>
      </c>
      <c r="B39" s="1" t="s">
        <v>88</v>
      </c>
      <c r="C39" s="1" t="s">
        <v>12</v>
      </c>
      <c r="D39" s="1" t="s">
        <v>23</v>
      </c>
      <c r="E39" s="1" t="s">
        <v>24</v>
      </c>
      <c r="F39" s="1">
        <v>35500</v>
      </c>
      <c r="G39" s="1">
        <v>35000</v>
      </c>
    </row>
    <row r="40" spans="1:7" x14ac:dyDescent="0.3">
      <c r="A40" s="4">
        <v>45506</v>
      </c>
      <c r="B40" s="1" t="s">
        <v>89</v>
      </c>
      <c r="C40" s="1" t="s">
        <v>16</v>
      </c>
      <c r="D40" s="1" t="s">
        <v>13</v>
      </c>
      <c r="E40" s="1" t="s">
        <v>56</v>
      </c>
      <c r="F40" s="1">
        <v>27500</v>
      </c>
      <c r="G40" s="1">
        <v>30000</v>
      </c>
    </row>
    <row r="41" spans="1:7" x14ac:dyDescent="0.3">
      <c r="A41" s="4">
        <v>45537</v>
      </c>
      <c r="B41" s="1" t="s">
        <v>90</v>
      </c>
      <c r="C41" s="1" t="s">
        <v>20</v>
      </c>
      <c r="D41" s="1" t="s">
        <v>17</v>
      </c>
      <c r="E41" s="1" t="s">
        <v>59</v>
      </c>
      <c r="F41" s="1">
        <v>33500</v>
      </c>
      <c r="G41" s="1">
        <v>30000</v>
      </c>
    </row>
    <row r="42" spans="1:7" x14ac:dyDescent="0.3">
      <c r="A42" s="4">
        <v>45567</v>
      </c>
      <c r="B42" s="1" t="s">
        <v>91</v>
      </c>
      <c r="C42" s="1" t="s">
        <v>8</v>
      </c>
      <c r="D42" s="1" t="s">
        <v>9</v>
      </c>
      <c r="E42" s="1" t="s">
        <v>30</v>
      </c>
      <c r="F42" s="1">
        <v>68000</v>
      </c>
      <c r="G42" s="1">
        <v>60000</v>
      </c>
    </row>
    <row r="43" spans="1:7" x14ac:dyDescent="0.3">
      <c r="A43" s="4">
        <v>45598</v>
      </c>
      <c r="B43" s="1" t="s">
        <v>92</v>
      </c>
      <c r="C43" s="1" t="s">
        <v>12</v>
      </c>
      <c r="D43" s="1" t="s">
        <v>23</v>
      </c>
      <c r="E43" s="1" t="s">
        <v>32</v>
      </c>
      <c r="F43" s="1">
        <v>43000</v>
      </c>
      <c r="G43" s="1">
        <v>40000</v>
      </c>
    </row>
    <row r="44" spans="1:7" x14ac:dyDescent="0.3">
      <c r="A44" s="4">
        <v>45628</v>
      </c>
      <c r="B44" s="1" t="s">
        <v>93</v>
      </c>
      <c r="C44" s="1" t="s">
        <v>20</v>
      </c>
      <c r="D44" s="1" t="s">
        <v>13</v>
      </c>
      <c r="E44" s="1" t="s">
        <v>14</v>
      </c>
      <c r="F44" s="1">
        <v>31500</v>
      </c>
      <c r="G44" s="1">
        <v>30000</v>
      </c>
    </row>
    <row r="45" spans="1:7" x14ac:dyDescent="0.3">
      <c r="A45" s="1" t="s">
        <v>94</v>
      </c>
      <c r="B45" s="1" t="s">
        <v>95</v>
      </c>
      <c r="C45" s="1" t="s">
        <v>16</v>
      </c>
      <c r="D45" s="1" t="s">
        <v>17</v>
      </c>
      <c r="E45" s="1" t="s">
        <v>28</v>
      </c>
      <c r="F45" s="1">
        <v>25500</v>
      </c>
      <c r="G45" s="1">
        <v>30000</v>
      </c>
    </row>
    <row r="46" spans="1:7" x14ac:dyDescent="0.3">
      <c r="A46" s="1" t="s">
        <v>96</v>
      </c>
      <c r="B46" s="1" t="s">
        <v>97</v>
      </c>
      <c r="C46" s="1" t="s">
        <v>12</v>
      </c>
      <c r="D46" s="1" t="s">
        <v>9</v>
      </c>
      <c r="E46" s="1" t="s">
        <v>10</v>
      </c>
      <c r="F46" s="1">
        <v>60000</v>
      </c>
      <c r="G46" s="1">
        <v>55000</v>
      </c>
    </row>
    <row r="47" spans="1:7" x14ac:dyDescent="0.3">
      <c r="A47" s="1" t="s">
        <v>98</v>
      </c>
      <c r="B47" s="1" t="s">
        <v>99</v>
      </c>
      <c r="C47" s="1" t="s">
        <v>8</v>
      </c>
      <c r="D47" s="1" t="s">
        <v>23</v>
      </c>
      <c r="E47" s="1" t="s">
        <v>40</v>
      </c>
      <c r="F47" s="1">
        <v>47000</v>
      </c>
      <c r="G47" s="1">
        <v>45000</v>
      </c>
    </row>
    <row r="48" spans="1:7" x14ac:dyDescent="0.3">
      <c r="A48" s="1" t="s">
        <v>100</v>
      </c>
      <c r="B48" s="1" t="s">
        <v>101</v>
      </c>
      <c r="C48" s="1" t="s">
        <v>20</v>
      </c>
      <c r="D48" s="1" t="s">
        <v>13</v>
      </c>
      <c r="E48" s="1" t="s">
        <v>26</v>
      </c>
      <c r="F48" s="1">
        <v>36000</v>
      </c>
      <c r="G48" s="1">
        <v>35000</v>
      </c>
    </row>
    <row r="49" spans="1:7" x14ac:dyDescent="0.3">
      <c r="A49" s="1" t="s">
        <v>102</v>
      </c>
      <c r="B49" s="1" t="s">
        <v>103</v>
      </c>
      <c r="C49" s="1" t="s">
        <v>16</v>
      </c>
      <c r="D49" s="1" t="s">
        <v>17</v>
      </c>
      <c r="E49" s="1" t="s">
        <v>18</v>
      </c>
      <c r="F49" s="1">
        <v>41000</v>
      </c>
      <c r="G49" s="1">
        <v>35000</v>
      </c>
    </row>
    <row r="50" spans="1:7" x14ac:dyDescent="0.3">
      <c r="A50" s="1" t="s">
        <v>104</v>
      </c>
      <c r="B50" s="1" t="s">
        <v>105</v>
      </c>
      <c r="C50" s="1" t="s">
        <v>8</v>
      </c>
      <c r="D50" s="1" t="s">
        <v>9</v>
      </c>
      <c r="E50" s="1" t="s">
        <v>21</v>
      </c>
      <c r="F50" s="1">
        <v>53000</v>
      </c>
      <c r="G50" s="1">
        <v>50000</v>
      </c>
    </row>
    <row r="51" spans="1:7" x14ac:dyDescent="0.3">
      <c r="A51" s="1" t="s">
        <v>106</v>
      </c>
      <c r="B51" s="1" t="s">
        <v>107</v>
      </c>
      <c r="C51" s="1" t="s">
        <v>12</v>
      </c>
      <c r="D51" s="1" t="s">
        <v>23</v>
      </c>
      <c r="E51" s="1" t="s">
        <v>51</v>
      </c>
      <c r="F51" s="1">
        <v>39000</v>
      </c>
      <c r="G51" s="1">
        <v>38000</v>
      </c>
    </row>
  </sheetData>
  <mergeCells count="6">
    <mergeCell ref="I2:J2"/>
    <mergeCell ref="I3:K3"/>
    <mergeCell ref="I4:K4"/>
    <mergeCell ref="I5:K5"/>
    <mergeCell ref="I6:K6"/>
    <mergeCell ref="I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3E7D-2AC1-4047-8646-B28AA2689549}">
  <sheetPr>
    <tabColor theme="0"/>
  </sheetPr>
  <dimension ref="A1:M51"/>
  <sheetViews>
    <sheetView tabSelected="1" workbookViewId="0">
      <selection activeCell="I23" sqref="I23"/>
    </sheetView>
  </sheetViews>
  <sheetFormatPr defaultColWidth="14.44140625" defaultRowHeight="14.4" x14ac:dyDescent="0.3"/>
  <sheetData>
    <row r="1" spans="1:13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</row>
    <row r="2" spans="1:13" x14ac:dyDescent="0.3">
      <c r="A2" s="13">
        <v>45292</v>
      </c>
      <c r="B2" s="14" t="s">
        <v>7</v>
      </c>
      <c r="C2" s="14" t="s">
        <v>8</v>
      </c>
      <c r="D2" s="14" t="s">
        <v>9</v>
      </c>
      <c r="E2" s="14" t="s">
        <v>10</v>
      </c>
      <c r="F2" s="14">
        <v>55000</v>
      </c>
      <c r="G2" s="15">
        <v>50000</v>
      </c>
      <c r="I2" s="5" t="s">
        <v>114</v>
      </c>
      <c r="J2" s="5"/>
      <c r="K2" s="5"/>
    </row>
    <row r="3" spans="1:13" x14ac:dyDescent="0.3">
      <c r="A3" s="13">
        <v>45293</v>
      </c>
      <c r="B3" s="14" t="s">
        <v>11</v>
      </c>
      <c r="C3" s="14" t="s">
        <v>12</v>
      </c>
      <c r="D3" s="14" t="s">
        <v>13</v>
      </c>
      <c r="E3" s="14" t="s">
        <v>14</v>
      </c>
      <c r="F3" s="14">
        <v>32000</v>
      </c>
      <c r="G3" s="15">
        <v>35000</v>
      </c>
    </row>
    <row r="4" spans="1:13" x14ac:dyDescent="0.3">
      <c r="A4" s="13">
        <v>45294</v>
      </c>
      <c r="B4" s="14" t="s">
        <v>15</v>
      </c>
      <c r="C4" s="14" t="s">
        <v>16</v>
      </c>
      <c r="D4" s="14" t="s">
        <v>17</v>
      </c>
      <c r="E4" s="14" t="s">
        <v>18</v>
      </c>
      <c r="F4" s="14">
        <v>28000</v>
      </c>
      <c r="G4" s="15">
        <v>30000</v>
      </c>
      <c r="I4" s="19" t="s">
        <v>115</v>
      </c>
      <c r="J4" s="19"/>
    </row>
    <row r="5" spans="1:13" x14ac:dyDescent="0.3">
      <c r="A5" s="13">
        <v>45295</v>
      </c>
      <c r="B5" s="14" t="s">
        <v>19</v>
      </c>
      <c r="C5" s="14" t="s">
        <v>20</v>
      </c>
      <c r="D5" s="14" t="s">
        <v>9</v>
      </c>
      <c r="E5" s="14" t="s">
        <v>21</v>
      </c>
      <c r="F5" s="14">
        <v>52000</v>
      </c>
      <c r="G5" s="15">
        <v>45000</v>
      </c>
      <c r="I5" s="21" t="s">
        <v>8</v>
      </c>
      <c r="J5" s="20">
        <f>SUMIF(C2:C51,I5,F2:F51)</f>
        <v>607500</v>
      </c>
    </row>
    <row r="6" spans="1:13" x14ac:dyDescent="0.3">
      <c r="A6" s="13">
        <v>45296</v>
      </c>
      <c r="B6" s="14" t="s">
        <v>22</v>
      </c>
      <c r="C6" s="14" t="s">
        <v>8</v>
      </c>
      <c r="D6" s="14" t="s">
        <v>23</v>
      </c>
      <c r="E6" s="14" t="s">
        <v>24</v>
      </c>
      <c r="F6" s="14">
        <v>61000</v>
      </c>
      <c r="G6" s="15">
        <v>50000</v>
      </c>
      <c r="M6">
        <f>SUM(F2,F6,F10,F15,F19,F23,F28,F32,F37,F42,F47,F50,)</f>
        <v>607500</v>
      </c>
    </row>
    <row r="7" spans="1:13" x14ac:dyDescent="0.3">
      <c r="A7" s="13">
        <v>45297</v>
      </c>
      <c r="B7" s="14" t="s">
        <v>25</v>
      </c>
      <c r="C7" s="14" t="s">
        <v>12</v>
      </c>
      <c r="D7" s="14" t="s">
        <v>13</v>
      </c>
      <c r="E7" s="14" t="s">
        <v>26</v>
      </c>
      <c r="F7" s="14">
        <v>39000</v>
      </c>
      <c r="G7" s="15">
        <v>35000</v>
      </c>
    </row>
    <row r="8" spans="1:13" x14ac:dyDescent="0.3">
      <c r="A8" s="13">
        <v>45298</v>
      </c>
      <c r="B8" s="14" t="s">
        <v>27</v>
      </c>
      <c r="C8" s="14" t="s">
        <v>20</v>
      </c>
      <c r="D8" s="14" t="s">
        <v>17</v>
      </c>
      <c r="E8" s="14" t="s">
        <v>28</v>
      </c>
      <c r="F8" s="14">
        <v>47000</v>
      </c>
      <c r="G8" s="15">
        <v>40000</v>
      </c>
      <c r="I8" s="5" t="s">
        <v>116</v>
      </c>
      <c r="J8" s="5"/>
      <c r="K8" s="5"/>
      <c r="L8" s="5"/>
    </row>
    <row r="9" spans="1:13" x14ac:dyDescent="0.3">
      <c r="A9" s="13">
        <v>45299</v>
      </c>
      <c r="B9" s="14" t="s">
        <v>29</v>
      </c>
      <c r="C9" s="14" t="s">
        <v>16</v>
      </c>
      <c r="D9" s="14" t="s">
        <v>9</v>
      </c>
      <c r="E9" s="14" t="s">
        <v>30</v>
      </c>
      <c r="F9" s="14">
        <v>55000</v>
      </c>
      <c r="G9" s="15">
        <v>50000</v>
      </c>
      <c r="I9" s="19" t="s">
        <v>5</v>
      </c>
      <c r="J9" s="19"/>
    </row>
    <row r="10" spans="1:13" x14ac:dyDescent="0.3">
      <c r="A10" s="13">
        <v>45300</v>
      </c>
      <c r="B10" s="14" t="s">
        <v>31</v>
      </c>
      <c r="C10" s="14" t="s">
        <v>8</v>
      </c>
      <c r="D10" s="14" t="s">
        <v>23</v>
      </c>
      <c r="E10" s="14" t="s">
        <v>32</v>
      </c>
      <c r="F10" s="14">
        <v>26000</v>
      </c>
      <c r="G10" s="15">
        <v>30000</v>
      </c>
      <c r="I10" s="21" t="s">
        <v>9</v>
      </c>
      <c r="J10" s="20">
        <f>SUMIF(Table1[Department],I10,Table1[Sales])</f>
        <v>776000</v>
      </c>
    </row>
    <row r="11" spans="1:13" x14ac:dyDescent="0.3">
      <c r="A11" s="13">
        <v>45301</v>
      </c>
      <c r="B11" s="14" t="s">
        <v>33</v>
      </c>
      <c r="C11" s="14" t="s">
        <v>20</v>
      </c>
      <c r="D11" s="14" t="s">
        <v>13</v>
      </c>
      <c r="E11" s="14" t="s">
        <v>34</v>
      </c>
      <c r="F11" s="14">
        <v>31000</v>
      </c>
      <c r="G11" s="15">
        <v>30000</v>
      </c>
    </row>
    <row r="12" spans="1:13" x14ac:dyDescent="0.3">
      <c r="A12" s="13">
        <v>45302</v>
      </c>
      <c r="B12" s="14" t="s">
        <v>35</v>
      </c>
      <c r="C12" s="14" t="s">
        <v>12</v>
      </c>
      <c r="D12" s="14" t="s">
        <v>9</v>
      </c>
      <c r="E12" s="14" t="s">
        <v>10</v>
      </c>
      <c r="F12" s="14">
        <v>48000</v>
      </c>
      <c r="G12" s="15">
        <v>45000</v>
      </c>
    </row>
    <row r="13" spans="1:13" x14ac:dyDescent="0.3">
      <c r="A13" s="13">
        <v>45303</v>
      </c>
      <c r="B13" s="14" t="s">
        <v>36</v>
      </c>
      <c r="C13" s="14" t="s">
        <v>16</v>
      </c>
      <c r="D13" s="14" t="s">
        <v>17</v>
      </c>
      <c r="E13" s="14" t="s">
        <v>37</v>
      </c>
      <c r="F13" s="14">
        <v>34000</v>
      </c>
      <c r="G13" s="15">
        <v>30000</v>
      </c>
      <c r="I13" s="5" t="s">
        <v>120</v>
      </c>
      <c r="J13" s="5"/>
      <c r="K13" s="5"/>
    </row>
    <row r="14" spans="1:13" x14ac:dyDescent="0.3">
      <c r="A14" s="13">
        <v>45304</v>
      </c>
      <c r="B14" s="14" t="s">
        <v>39</v>
      </c>
      <c r="C14" s="14" t="s">
        <v>20</v>
      </c>
      <c r="D14" s="14" t="s">
        <v>23</v>
      </c>
      <c r="E14" s="14" t="s">
        <v>40</v>
      </c>
      <c r="F14" s="14">
        <v>42000</v>
      </c>
      <c r="G14" s="15">
        <v>40000</v>
      </c>
    </row>
    <row r="15" spans="1:13" x14ac:dyDescent="0.3">
      <c r="A15" s="13">
        <v>45305</v>
      </c>
      <c r="B15" s="14" t="s">
        <v>42</v>
      </c>
      <c r="C15" s="14" t="s">
        <v>8</v>
      </c>
      <c r="D15" s="14" t="s">
        <v>9</v>
      </c>
      <c r="E15" s="14" t="s">
        <v>21</v>
      </c>
      <c r="F15" s="14">
        <v>70000</v>
      </c>
      <c r="G15" s="15">
        <v>60000</v>
      </c>
      <c r="I15" s="24" t="s">
        <v>3</v>
      </c>
      <c r="J15" s="24" t="s">
        <v>118</v>
      </c>
    </row>
    <row r="16" spans="1:13" x14ac:dyDescent="0.3">
      <c r="A16" s="13">
        <v>45306</v>
      </c>
      <c r="B16" s="14" t="s">
        <v>44</v>
      </c>
      <c r="C16" s="14" t="s">
        <v>16</v>
      </c>
      <c r="D16" s="14" t="s">
        <v>13</v>
      </c>
      <c r="E16" s="14" t="s">
        <v>45</v>
      </c>
      <c r="F16" s="14">
        <v>29000</v>
      </c>
      <c r="G16" s="15">
        <v>30000</v>
      </c>
      <c r="I16" s="22" t="s">
        <v>13</v>
      </c>
      <c r="J16" s="20">
        <f>COUNTIF(Table1[Department],I16)</f>
        <v>12</v>
      </c>
    </row>
    <row r="17" spans="1:11" x14ac:dyDescent="0.3">
      <c r="A17" s="13">
        <v>45307</v>
      </c>
      <c r="B17" s="14" t="s">
        <v>47</v>
      </c>
      <c r="C17" s="14" t="s">
        <v>12</v>
      </c>
      <c r="D17" s="14" t="s">
        <v>17</v>
      </c>
      <c r="E17" s="14" t="s">
        <v>48</v>
      </c>
      <c r="F17" s="14">
        <v>51000</v>
      </c>
      <c r="G17" s="15">
        <v>45000</v>
      </c>
    </row>
    <row r="18" spans="1:11" x14ac:dyDescent="0.3">
      <c r="A18" s="13">
        <v>45308</v>
      </c>
      <c r="B18" s="14" t="s">
        <v>50</v>
      </c>
      <c r="C18" s="14" t="s">
        <v>20</v>
      </c>
      <c r="D18" s="14" t="s">
        <v>23</v>
      </c>
      <c r="E18" s="14" t="s">
        <v>51</v>
      </c>
      <c r="F18" s="14">
        <v>36000</v>
      </c>
      <c r="G18" s="15">
        <v>35000</v>
      </c>
      <c r="I18" s="5" t="s">
        <v>119</v>
      </c>
      <c r="J18" s="5"/>
      <c r="K18" s="5"/>
    </row>
    <row r="19" spans="1:11" x14ac:dyDescent="0.3">
      <c r="A19" s="13">
        <v>45309</v>
      </c>
      <c r="B19" s="14" t="s">
        <v>53</v>
      </c>
      <c r="C19" s="14" t="s">
        <v>8</v>
      </c>
      <c r="D19" s="14" t="s">
        <v>9</v>
      </c>
      <c r="E19" s="14" t="s">
        <v>30</v>
      </c>
      <c r="F19" s="14">
        <v>62000</v>
      </c>
      <c r="G19" s="15">
        <v>55000</v>
      </c>
      <c r="I19" s="24" t="s">
        <v>118</v>
      </c>
    </row>
    <row r="20" spans="1:11" x14ac:dyDescent="0.3">
      <c r="A20" s="13">
        <v>45310</v>
      </c>
      <c r="B20" s="14" t="s">
        <v>55</v>
      </c>
      <c r="C20" s="14" t="s">
        <v>16</v>
      </c>
      <c r="D20" s="14" t="s">
        <v>13</v>
      </c>
      <c r="E20" s="14" t="s">
        <v>56</v>
      </c>
      <c r="F20" s="14">
        <v>27000</v>
      </c>
      <c r="G20" s="15">
        <v>30000</v>
      </c>
      <c r="I20" s="21">
        <f>COUNTIFS(Table1[Region],"South",Table1[Sales],"&gt;40000")</f>
        <v>6</v>
      </c>
    </row>
    <row r="21" spans="1:11" x14ac:dyDescent="0.3">
      <c r="A21" s="13">
        <v>45311</v>
      </c>
      <c r="B21" s="14" t="s">
        <v>58</v>
      </c>
      <c r="C21" s="14" t="s">
        <v>20</v>
      </c>
      <c r="D21" s="14" t="s">
        <v>17</v>
      </c>
      <c r="E21" s="14" t="s">
        <v>59</v>
      </c>
      <c r="F21" s="14">
        <v>33000</v>
      </c>
      <c r="G21" s="15">
        <v>30000</v>
      </c>
    </row>
    <row r="22" spans="1:11" x14ac:dyDescent="0.3">
      <c r="A22" s="13">
        <v>45312</v>
      </c>
      <c r="B22" s="14" t="s">
        <v>61</v>
      </c>
      <c r="C22" s="14" t="s">
        <v>12</v>
      </c>
      <c r="D22" s="14" t="s">
        <v>9</v>
      </c>
      <c r="E22" s="14" t="s">
        <v>10</v>
      </c>
      <c r="F22" s="14">
        <v>54000</v>
      </c>
      <c r="G22" s="15">
        <v>50000</v>
      </c>
    </row>
    <row r="23" spans="1:11" x14ac:dyDescent="0.3">
      <c r="A23" s="13">
        <v>45313</v>
      </c>
      <c r="B23" s="14" t="s">
        <v>63</v>
      </c>
      <c r="C23" s="14" t="s">
        <v>8</v>
      </c>
      <c r="D23" s="14" t="s">
        <v>23</v>
      </c>
      <c r="E23" s="14" t="s">
        <v>24</v>
      </c>
      <c r="F23" s="14">
        <v>46000</v>
      </c>
      <c r="G23" s="15">
        <v>45000</v>
      </c>
    </row>
    <row r="24" spans="1:11" x14ac:dyDescent="0.3">
      <c r="A24" s="13">
        <v>45314</v>
      </c>
      <c r="B24" s="14" t="s">
        <v>65</v>
      </c>
      <c r="C24" s="14" t="s">
        <v>20</v>
      </c>
      <c r="D24" s="14" t="s">
        <v>13</v>
      </c>
      <c r="E24" s="14" t="s">
        <v>14</v>
      </c>
      <c r="F24" s="14">
        <v>30000</v>
      </c>
      <c r="G24" s="15">
        <v>30000</v>
      </c>
    </row>
    <row r="25" spans="1:11" x14ac:dyDescent="0.3">
      <c r="A25" s="13">
        <v>45315</v>
      </c>
      <c r="B25" s="14" t="s">
        <v>67</v>
      </c>
      <c r="C25" s="14" t="s">
        <v>16</v>
      </c>
      <c r="D25" s="14" t="s">
        <v>17</v>
      </c>
      <c r="E25" s="14" t="s">
        <v>28</v>
      </c>
      <c r="F25" s="14">
        <v>37000</v>
      </c>
      <c r="G25" s="15">
        <v>35000</v>
      </c>
    </row>
    <row r="26" spans="1:11" x14ac:dyDescent="0.3">
      <c r="A26" s="13">
        <v>45316</v>
      </c>
      <c r="B26" s="14" t="s">
        <v>69</v>
      </c>
      <c r="C26" s="14" t="s">
        <v>12</v>
      </c>
      <c r="D26" s="14" t="s">
        <v>9</v>
      </c>
      <c r="E26" s="14" t="s">
        <v>21</v>
      </c>
      <c r="F26" s="14">
        <v>58000</v>
      </c>
      <c r="G26" s="15">
        <v>55000</v>
      </c>
    </row>
    <row r="27" spans="1:11" x14ac:dyDescent="0.3">
      <c r="A27" s="13">
        <v>45317</v>
      </c>
      <c r="B27" s="14" t="s">
        <v>71</v>
      </c>
      <c r="C27" s="14" t="s">
        <v>20</v>
      </c>
      <c r="D27" s="14" t="s">
        <v>23</v>
      </c>
      <c r="E27" s="14" t="s">
        <v>32</v>
      </c>
      <c r="F27" s="14">
        <v>41000</v>
      </c>
      <c r="G27" s="15">
        <v>40000</v>
      </c>
    </row>
    <row r="28" spans="1:11" x14ac:dyDescent="0.3">
      <c r="A28" s="13">
        <v>45318</v>
      </c>
      <c r="B28" s="14" t="s">
        <v>73</v>
      </c>
      <c r="C28" s="14" t="s">
        <v>8</v>
      </c>
      <c r="D28" s="14" t="s">
        <v>13</v>
      </c>
      <c r="E28" s="14" t="s">
        <v>34</v>
      </c>
      <c r="F28" s="14">
        <v>35000</v>
      </c>
      <c r="G28" s="15">
        <v>35000</v>
      </c>
    </row>
    <row r="29" spans="1:11" x14ac:dyDescent="0.3">
      <c r="A29" s="13">
        <v>45319</v>
      </c>
      <c r="B29" s="14" t="s">
        <v>75</v>
      </c>
      <c r="C29" s="14" t="s">
        <v>12</v>
      </c>
      <c r="D29" s="14" t="s">
        <v>17</v>
      </c>
      <c r="E29" s="14" t="s">
        <v>18</v>
      </c>
      <c r="F29" s="14">
        <v>26000</v>
      </c>
      <c r="G29" s="15">
        <v>30000</v>
      </c>
    </row>
    <row r="30" spans="1:11" x14ac:dyDescent="0.3">
      <c r="A30" s="13">
        <v>45320</v>
      </c>
      <c r="B30" s="14" t="s">
        <v>77</v>
      </c>
      <c r="C30" s="14" t="s">
        <v>16</v>
      </c>
      <c r="D30" s="14" t="s">
        <v>9</v>
      </c>
      <c r="E30" s="14" t="s">
        <v>30</v>
      </c>
      <c r="F30" s="14">
        <v>49000</v>
      </c>
      <c r="G30" s="15">
        <v>45000</v>
      </c>
    </row>
    <row r="31" spans="1:11" x14ac:dyDescent="0.3">
      <c r="A31" s="13">
        <v>45321</v>
      </c>
      <c r="B31" s="14" t="s">
        <v>79</v>
      </c>
      <c r="C31" s="14" t="s">
        <v>20</v>
      </c>
      <c r="D31" s="14" t="s">
        <v>23</v>
      </c>
      <c r="E31" s="14" t="s">
        <v>40</v>
      </c>
      <c r="F31" s="14">
        <v>44000</v>
      </c>
      <c r="G31" s="15">
        <v>40000</v>
      </c>
    </row>
    <row r="32" spans="1:11" x14ac:dyDescent="0.3">
      <c r="A32" s="13">
        <v>45322</v>
      </c>
      <c r="B32" s="14" t="s">
        <v>81</v>
      </c>
      <c r="C32" s="14" t="s">
        <v>8</v>
      </c>
      <c r="D32" s="14" t="s">
        <v>13</v>
      </c>
      <c r="E32" s="14" t="s">
        <v>26</v>
      </c>
      <c r="F32" s="14">
        <v>38000</v>
      </c>
      <c r="G32" s="15">
        <v>35000</v>
      </c>
    </row>
    <row r="33" spans="1:7" x14ac:dyDescent="0.3">
      <c r="A33" s="13">
        <v>45323</v>
      </c>
      <c r="B33" s="14" t="s">
        <v>82</v>
      </c>
      <c r="C33" s="14" t="s">
        <v>12</v>
      </c>
      <c r="D33" s="14" t="s">
        <v>17</v>
      </c>
      <c r="E33" s="14" t="s">
        <v>37</v>
      </c>
      <c r="F33" s="14">
        <v>52000</v>
      </c>
      <c r="G33" s="15">
        <v>45000</v>
      </c>
    </row>
    <row r="34" spans="1:7" x14ac:dyDescent="0.3">
      <c r="A34" s="13">
        <v>45324</v>
      </c>
      <c r="B34" s="14" t="s">
        <v>83</v>
      </c>
      <c r="C34" s="14" t="s">
        <v>20</v>
      </c>
      <c r="D34" s="14" t="s">
        <v>9</v>
      </c>
      <c r="E34" s="14" t="s">
        <v>10</v>
      </c>
      <c r="F34" s="14">
        <v>31000</v>
      </c>
      <c r="G34" s="15">
        <v>40000</v>
      </c>
    </row>
    <row r="35" spans="1:7" x14ac:dyDescent="0.3">
      <c r="A35" s="13">
        <v>45325</v>
      </c>
      <c r="B35" s="14" t="s">
        <v>84</v>
      </c>
      <c r="C35" s="14" t="s">
        <v>16</v>
      </c>
      <c r="D35" s="14" t="s">
        <v>23</v>
      </c>
      <c r="E35" s="14" t="s">
        <v>51</v>
      </c>
      <c r="F35" s="14">
        <v>57000</v>
      </c>
      <c r="G35" s="15">
        <v>50000</v>
      </c>
    </row>
    <row r="36" spans="1:7" x14ac:dyDescent="0.3">
      <c r="A36" s="13">
        <v>45326</v>
      </c>
      <c r="B36" s="14" t="s">
        <v>85</v>
      </c>
      <c r="C36" s="14" t="s">
        <v>12</v>
      </c>
      <c r="D36" s="14" t="s">
        <v>13</v>
      </c>
      <c r="E36" s="14" t="s">
        <v>45</v>
      </c>
      <c r="F36" s="14">
        <v>29500</v>
      </c>
      <c r="G36" s="15">
        <v>30000</v>
      </c>
    </row>
    <row r="37" spans="1:7" x14ac:dyDescent="0.3">
      <c r="A37" s="13">
        <v>45327</v>
      </c>
      <c r="B37" s="14" t="s">
        <v>86</v>
      </c>
      <c r="C37" s="14" t="s">
        <v>8</v>
      </c>
      <c r="D37" s="14" t="s">
        <v>17</v>
      </c>
      <c r="E37" s="14" t="s">
        <v>48</v>
      </c>
      <c r="F37" s="14">
        <v>46500</v>
      </c>
      <c r="G37" s="15">
        <v>45000</v>
      </c>
    </row>
    <row r="38" spans="1:7" x14ac:dyDescent="0.3">
      <c r="A38" s="13">
        <v>45328</v>
      </c>
      <c r="B38" s="14" t="s">
        <v>87</v>
      </c>
      <c r="C38" s="14" t="s">
        <v>20</v>
      </c>
      <c r="D38" s="14" t="s">
        <v>9</v>
      </c>
      <c r="E38" s="14" t="s">
        <v>21</v>
      </c>
      <c r="F38" s="14">
        <v>61000</v>
      </c>
      <c r="G38" s="15">
        <v>55000</v>
      </c>
    </row>
    <row r="39" spans="1:7" x14ac:dyDescent="0.3">
      <c r="A39" s="13">
        <v>45329</v>
      </c>
      <c r="B39" s="14" t="s">
        <v>88</v>
      </c>
      <c r="C39" s="14" t="s">
        <v>12</v>
      </c>
      <c r="D39" s="14" t="s">
        <v>23</v>
      </c>
      <c r="E39" s="14" t="s">
        <v>24</v>
      </c>
      <c r="F39" s="14">
        <v>35500</v>
      </c>
      <c r="G39" s="15">
        <v>35000</v>
      </c>
    </row>
    <row r="40" spans="1:7" x14ac:dyDescent="0.3">
      <c r="A40" s="13">
        <v>45330</v>
      </c>
      <c r="B40" s="14" t="s">
        <v>89</v>
      </c>
      <c r="C40" s="14" t="s">
        <v>16</v>
      </c>
      <c r="D40" s="14" t="s">
        <v>13</v>
      </c>
      <c r="E40" s="14" t="s">
        <v>56</v>
      </c>
      <c r="F40" s="14">
        <v>27500</v>
      </c>
      <c r="G40" s="15">
        <v>30000</v>
      </c>
    </row>
    <row r="41" spans="1:7" x14ac:dyDescent="0.3">
      <c r="A41" s="13">
        <v>45331</v>
      </c>
      <c r="B41" s="14" t="s">
        <v>90</v>
      </c>
      <c r="C41" s="14" t="s">
        <v>20</v>
      </c>
      <c r="D41" s="14" t="s">
        <v>17</v>
      </c>
      <c r="E41" s="14" t="s">
        <v>59</v>
      </c>
      <c r="F41" s="14">
        <v>33500</v>
      </c>
      <c r="G41" s="15">
        <v>30000</v>
      </c>
    </row>
    <row r="42" spans="1:7" x14ac:dyDescent="0.3">
      <c r="A42" s="13">
        <v>45332</v>
      </c>
      <c r="B42" s="14" t="s">
        <v>91</v>
      </c>
      <c r="C42" s="14" t="s">
        <v>8</v>
      </c>
      <c r="D42" s="14" t="s">
        <v>9</v>
      </c>
      <c r="E42" s="14" t="s">
        <v>30</v>
      </c>
      <c r="F42" s="14">
        <v>68000</v>
      </c>
      <c r="G42" s="15">
        <v>60000</v>
      </c>
    </row>
    <row r="43" spans="1:7" x14ac:dyDescent="0.3">
      <c r="A43" s="13">
        <v>45333</v>
      </c>
      <c r="B43" s="14" t="s">
        <v>92</v>
      </c>
      <c r="C43" s="14" t="s">
        <v>12</v>
      </c>
      <c r="D43" s="14" t="s">
        <v>23</v>
      </c>
      <c r="E43" s="14" t="s">
        <v>32</v>
      </c>
      <c r="F43" s="14">
        <v>43000</v>
      </c>
      <c r="G43" s="15">
        <v>40000</v>
      </c>
    </row>
    <row r="44" spans="1:7" x14ac:dyDescent="0.3">
      <c r="A44" s="13">
        <v>45334</v>
      </c>
      <c r="B44" s="14" t="s">
        <v>93</v>
      </c>
      <c r="C44" s="14" t="s">
        <v>20</v>
      </c>
      <c r="D44" s="14" t="s">
        <v>13</v>
      </c>
      <c r="E44" s="14" t="s">
        <v>14</v>
      </c>
      <c r="F44" s="14">
        <v>31500</v>
      </c>
      <c r="G44" s="15">
        <v>30000</v>
      </c>
    </row>
    <row r="45" spans="1:7" x14ac:dyDescent="0.3">
      <c r="A45" s="13">
        <v>45335</v>
      </c>
      <c r="B45" s="14" t="s">
        <v>95</v>
      </c>
      <c r="C45" s="14" t="s">
        <v>16</v>
      </c>
      <c r="D45" s="14" t="s">
        <v>17</v>
      </c>
      <c r="E45" s="14" t="s">
        <v>28</v>
      </c>
      <c r="F45" s="14">
        <v>25500</v>
      </c>
      <c r="G45" s="15">
        <v>30000</v>
      </c>
    </row>
    <row r="46" spans="1:7" x14ac:dyDescent="0.3">
      <c r="A46" s="13">
        <v>45336</v>
      </c>
      <c r="B46" s="14" t="s">
        <v>97</v>
      </c>
      <c r="C46" s="14" t="s">
        <v>12</v>
      </c>
      <c r="D46" s="14" t="s">
        <v>9</v>
      </c>
      <c r="E46" s="14" t="s">
        <v>10</v>
      </c>
      <c r="F46" s="14">
        <v>60000</v>
      </c>
      <c r="G46" s="15">
        <v>55000</v>
      </c>
    </row>
    <row r="47" spans="1:7" x14ac:dyDescent="0.3">
      <c r="A47" s="13">
        <v>45337</v>
      </c>
      <c r="B47" s="14" t="s">
        <v>99</v>
      </c>
      <c r="C47" s="14" t="s">
        <v>8</v>
      </c>
      <c r="D47" s="14" t="s">
        <v>23</v>
      </c>
      <c r="E47" s="14" t="s">
        <v>40</v>
      </c>
      <c r="F47" s="14">
        <v>47000</v>
      </c>
      <c r="G47" s="15">
        <v>45000</v>
      </c>
    </row>
    <row r="48" spans="1:7" x14ac:dyDescent="0.3">
      <c r="A48" s="13">
        <v>45338</v>
      </c>
      <c r="B48" s="14" t="s">
        <v>101</v>
      </c>
      <c r="C48" s="14" t="s">
        <v>20</v>
      </c>
      <c r="D48" s="14" t="s">
        <v>13</v>
      </c>
      <c r="E48" s="14" t="s">
        <v>26</v>
      </c>
      <c r="F48" s="14">
        <v>36000</v>
      </c>
      <c r="G48" s="15">
        <v>35000</v>
      </c>
    </row>
    <row r="49" spans="1:7" x14ac:dyDescent="0.3">
      <c r="A49" s="13">
        <v>45339</v>
      </c>
      <c r="B49" s="14" t="s">
        <v>103</v>
      </c>
      <c r="C49" s="14" t="s">
        <v>16</v>
      </c>
      <c r="D49" s="14" t="s">
        <v>17</v>
      </c>
      <c r="E49" s="14" t="s">
        <v>18</v>
      </c>
      <c r="F49" s="14">
        <v>41000</v>
      </c>
      <c r="G49" s="15">
        <v>35000</v>
      </c>
    </row>
    <row r="50" spans="1:7" x14ac:dyDescent="0.3">
      <c r="A50" s="13">
        <v>45340</v>
      </c>
      <c r="B50" s="14" t="s">
        <v>105</v>
      </c>
      <c r="C50" s="14" t="s">
        <v>8</v>
      </c>
      <c r="D50" s="14" t="s">
        <v>9</v>
      </c>
      <c r="E50" s="14" t="s">
        <v>21</v>
      </c>
      <c r="F50" s="14">
        <v>53000</v>
      </c>
      <c r="G50" s="15">
        <v>50000</v>
      </c>
    </row>
    <row r="51" spans="1:7" x14ac:dyDescent="0.3">
      <c r="A51" s="16">
        <v>45341</v>
      </c>
      <c r="B51" s="17" t="s">
        <v>107</v>
      </c>
      <c r="C51" s="17" t="s">
        <v>12</v>
      </c>
      <c r="D51" s="17" t="s">
        <v>23</v>
      </c>
      <c r="E51" s="17" t="s">
        <v>51</v>
      </c>
      <c r="F51" s="17">
        <v>39000</v>
      </c>
      <c r="G51" s="18">
        <v>38000</v>
      </c>
    </row>
  </sheetData>
  <mergeCells count="6">
    <mergeCell ref="I18:K18"/>
    <mergeCell ref="I2:K2"/>
    <mergeCell ref="I4:J4"/>
    <mergeCell ref="I8:L8"/>
    <mergeCell ref="I9:J9"/>
    <mergeCell ref="I13:K1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67F6-1E5F-4E08-ADB4-E89BC917171C}">
  <sheetPr>
    <tabColor rgb="FF00B0F0"/>
  </sheetPr>
  <dimension ref="A1:M51"/>
  <sheetViews>
    <sheetView workbookViewId="0">
      <selection activeCell="M18" sqref="M18"/>
    </sheetView>
  </sheetViews>
  <sheetFormatPr defaultColWidth="12.21875" defaultRowHeight="14.4" x14ac:dyDescent="0.3"/>
  <cols>
    <col min="8" max="8" width="16.332031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117</v>
      </c>
    </row>
    <row r="2" spans="1:13" x14ac:dyDescent="0.3">
      <c r="A2" s="2">
        <v>45292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55000</v>
      </c>
      <c r="G2" s="1">
        <v>50000</v>
      </c>
      <c r="H2" s="20" t="str">
        <f>IF(F2&gt;G2,"ACHIEVED","NOT ACHIEVED")</f>
        <v>ACHIEVED</v>
      </c>
    </row>
    <row r="3" spans="1:13" x14ac:dyDescent="0.3">
      <c r="A3" s="2">
        <v>45293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32000</v>
      </c>
      <c r="G3" s="1">
        <v>35000</v>
      </c>
      <c r="H3" s="20" t="str">
        <f t="shared" ref="H3:H51" si="0">IF(F3&gt;G3,"ACHIEVED","NOT ACHIEVED")</f>
        <v>NOT ACHIEVED</v>
      </c>
    </row>
    <row r="4" spans="1:13" x14ac:dyDescent="0.3">
      <c r="A4" s="2">
        <v>45294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28000</v>
      </c>
      <c r="G4" s="1">
        <v>30000</v>
      </c>
      <c r="H4" s="20" t="str">
        <f t="shared" si="0"/>
        <v>NOT ACHIEVED</v>
      </c>
    </row>
    <row r="5" spans="1:13" x14ac:dyDescent="0.3">
      <c r="A5" s="2">
        <v>45295</v>
      </c>
      <c r="B5" s="1" t="s">
        <v>19</v>
      </c>
      <c r="C5" s="1" t="s">
        <v>20</v>
      </c>
      <c r="D5" s="1" t="s">
        <v>9</v>
      </c>
      <c r="E5" s="1" t="s">
        <v>21</v>
      </c>
      <c r="F5" s="1">
        <v>52000</v>
      </c>
      <c r="G5" s="1">
        <v>45000</v>
      </c>
      <c r="H5" s="20" t="str">
        <f t="shared" si="0"/>
        <v>ACHIEVED</v>
      </c>
    </row>
    <row r="6" spans="1:13" x14ac:dyDescent="0.3">
      <c r="A6" s="2">
        <v>45296</v>
      </c>
      <c r="B6" s="1" t="s">
        <v>22</v>
      </c>
      <c r="C6" s="1" t="s">
        <v>8</v>
      </c>
      <c r="D6" s="1" t="s">
        <v>23</v>
      </c>
      <c r="E6" s="1" t="s">
        <v>24</v>
      </c>
      <c r="F6" s="1">
        <v>61000</v>
      </c>
      <c r="G6" s="1">
        <v>50000</v>
      </c>
      <c r="H6" s="20" t="str">
        <f t="shared" si="0"/>
        <v>ACHIEVED</v>
      </c>
    </row>
    <row r="7" spans="1:13" x14ac:dyDescent="0.3">
      <c r="A7" s="2">
        <v>45297</v>
      </c>
      <c r="B7" s="1" t="s">
        <v>25</v>
      </c>
      <c r="C7" s="1" t="s">
        <v>12</v>
      </c>
      <c r="D7" s="1" t="s">
        <v>13</v>
      </c>
      <c r="E7" s="1" t="s">
        <v>26</v>
      </c>
      <c r="F7" s="1">
        <v>39000</v>
      </c>
      <c r="G7" s="1">
        <v>35000</v>
      </c>
      <c r="H7" s="20" t="str">
        <f t="shared" si="0"/>
        <v>ACHIEVED</v>
      </c>
    </row>
    <row r="8" spans="1:13" x14ac:dyDescent="0.3">
      <c r="A8" s="2">
        <v>45298</v>
      </c>
      <c r="B8" s="1" t="s">
        <v>27</v>
      </c>
      <c r="C8" s="1" t="s">
        <v>20</v>
      </c>
      <c r="D8" s="1" t="s">
        <v>17</v>
      </c>
      <c r="E8" s="1" t="s">
        <v>28</v>
      </c>
      <c r="F8" s="1">
        <v>47000</v>
      </c>
      <c r="G8" s="1">
        <v>40000</v>
      </c>
      <c r="H8" s="20" t="str">
        <f t="shared" si="0"/>
        <v>ACHIEVED</v>
      </c>
    </row>
    <row r="9" spans="1:13" x14ac:dyDescent="0.3">
      <c r="A9" s="2">
        <v>45299</v>
      </c>
      <c r="B9" s="1" t="s">
        <v>29</v>
      </c>
      <c r="C9" s="1" t="s">
        <v>16</v>
      </c>
      <c r="D9" s="1" t="s">
        <v>9</v>
      </c>
      <c r="E9" s="1" t="s">
        <v>30</v>
      </c>
      <c r="F9" s="1">
        <v>55000</v>
      </c>
      <c r="G9" s="1">
        <v>50000</v>
      </c>
      <c r="H9" s="20" t="str">
        <f t="shared" si="0"/>
        <v>ACHIEVED</v>
      </c>
    </row>
    <row r="10" spans="1:13" x14ac:dyDescent="0.3">
      <c r="A10" s="2">
        <v>45300</v>
      </c>
      <c r="B10" s="1" t="s">
        <v>31</v>
      </c>
      <c r="C10" s="1" t="s">
        <v>8</v>
      </c>
      <c r="D10" s="1" t="s">
        <v>23</v>
      </c>
      <c r="E10" s="1" t="s">
        <v>32</v>
      </c>
      <c r="F10" s="1">
        <v>26000</v>
      </c>
      <c r="G10" s="1">
        <v>30000</v>
      </c>
      <c r="H10" s="20" t="str">
        <f t="shared" si="0"/>
        <v>NOT ACHIEVED</v>
      </c>
      <c r="J10" s="8" t="s">
        <v>110</v>
      </c>
      <c r="K10" s="8"/>
      <c r="L10" s="8"/>
      <c r="M10" s="8"/>
    </row>
    <row r="11" spans="1:13" x14ac:dyDescent="0.3">
      <c r="A11" s="2">
        <v>45301</v>
      </c>
      <c r="B11" s="1" t="s">
        <v>33</v>
      </c>
      <c r="C11" s="1" t="s">
        <v>20</v>
      </c>
      <c r="D11" s="1" t="s">
        <v>13</v>
      </c>
      <c r="E11" s="1" t="s">
        <v>34</v>
      </c>
      <c r="F11" s="1">
        <v>31000</v>
      </c>
      <c r="G11" s="1">
        <v>30000</v>
      </c>
      <c r="H11" s="20" t="str">
        <f t="shared" si="0"/>
        <v>ACHIEVED</v>
      </c>
    </row>
    <row r="12" spans="1:13" x14ac:dyDescent="0.3">
      <c r="A12" s="2">
        <v>45302</v>
      </c>
      <c r="B12" s="1" t="s">
        <v>35</v>
      </c>
      <c r="C12" s="1" t="s">
        <v>12</v>
      </c>
      <c r="D12" s="1" t="s">
        <v>9</v>
      </c>
      <c r="E12" s="1" t="s">
        <v>10</v>
      </c>
      <c r="F12" s="1">
        <v>48000</v>
      </c>
      <c r="G12" s="1">
        <v>45000</v>
      </c>
      <c r="H12" s="20" t="str">
        <f t="shared" si="0"/>
        <v>ACHIEVED</v>
      </c>
    </row>
    <row r="13" spans="1:13" x14ac:dyDescent="0.3">
      <c r="A13" s="2">
        <v>45303</v>
      </c>
      <c r="B13" s="1" t="s">
        <v>36</v>
      </c>
      <c r="C13" s="1" t="s">
        <v>16</v>
      </c>
      <c r="D13" s="1" t="s">
        <v>17</v>
      </c>
      <c r="E13" s="1" t="s">
        <v>37</v>
      </c>
      <c r="F13" s="1">
        <v>34000</v>
      </c>
      <c r="G13" s="1">
        <v>30000</v>
      </c>
      <c r="H13" s="20" t="str">
        <f t="shared" si="0"/>
        <v>ACHIEVED</v>
      </c>
    </row>
    <row r="14" spans="1:13" x14ac:dyDescent="0.3">
      <c r="A14" s="2">
        <v>45304</v>
      </c>
      <c r="B14" s="1" t="s">
        <v>39</v>
      </c>
      <c r="C14" s="1" t="s">
        <v>20</v>
      </c>
      <c r="D14" s="1" t="s">
        <v>23</v>
      </c>
      <c r="E14" s="1" t="s">
        <v>40</v>
      </c>
      <c r="F14" s="1">
        <v>42000</v>
      </c>
      <c r="G14" s="1">
        <v>40000</v>
      </c>
      <c r="H14" s="20" t="str">
        <f t="shared" si="0"/>
        <v>ACHIEVED</v>
      </c>
    </row>
    <row r="15" spans="1:13" x14ac:dyDescent="0.3">
      <c r="A15" s="2">
        <v>45305</v>
      </c>
      <c r="B15" s="1" t="s">
        <v>42</v>
      </c>
      <c r="C15" s="1" t="s">
        <v>8</v>
      </c>
      <c r="D15" s="1" t="s">
        <v>9</v>
      </c>
      <c r="E15" s="1" t="s">
        <v>21</v>
      </c>
      <c r="F15" s="1">
        <v>70000</v>
      </c>
      <c r="G15" s="1">
        <v>60000</v>
      </c>
      <c r="H15" s="20" t="str">
        <f t="shared" si="0"/>
        <v>ACHIEVED</v>
      </c>
    </row>
    <row r="16" spans="1:13" x14ac:dyDescent="0.3">
      <c r="A16" s="2">
        <v>45306</v>
      </c>
      <c r="B16" s="1" t="s">
        <v>44</v>
      </c>
      <c r="C16" s="1" t="s">
        <v>16</v>
      </c>
      <c r="D16" s="1" t="s">
        <v>13</v>
      </c>
      <c r="E16" s="1" t="s">
        <v>45</v>
      </c>
      <c r="F16" s="1">
        <v>29000</v>
      </c>
      <c r="G16" s="1">
        <v>30000</v>
      </c>
      <c r="H16" s="20" t="str">
        <f t="shared" si="0"/>
        <v>NOT ACHIEVED</v>
      </c>
    </row>
    <row r="17" spans="1:8" x14ac:dyDescent="0.3">
      <c r="A17" s="2">
        <v>45307</v>
      </c>
      <c r="B17" s="1" t="s">
        <v>47</v>
      </c>
      <c r="C17" s="1" t="s">
        <v>12</v>
      </c>
      <c r="D17" s="1" t="s">
        <v>17</v>
      </c>
      <c r="E17" s="1" t="s">
        <v>48</v>
      </c>
      <c r="F17" s="1">
        <v>51000</v>
      </c>
      <c r="G17" s="1">
        <v>45000</v>
      </c>
      <c r="H17" s="20" t="str">
        <f t="shared" si="0"/>
        <v>ACHIEVED</v>
      </c>
    </row>
    <row r="18" spans="1:8" x14ac:dyDescent="0.3">
      <c r="A18" s="2">
        <v>45308</v>
      </c>
      <c r="B18" s="1" t="s">
        <v>50</v>
      </c>
      <c r="C18" s="1" t="s">
        <v>20</v>
      </c>
      <c r="D18" s="1" t="s">
        <v>23</v>
      </c>
      <c r="E18" s="1" t="s">
        <v>51</v>
      </c>
      <c r="F18" s="1">
        <v>36000</v>
      </c>
      <c r="G18" s="1">
        <v>35000</v>
      </c>
      <c r="H18" s="20" t="str">
        <f t="shared" si="0"/>
        <v>ACHIEVED</v>
      </c>
    </row>
    <row r="19" spans="1:8" x14ac:dyDescent="0.3">
      <c r="A19" s="2">
        <v>45309</v>
      </c>
      <c r="B19" s="1" t="s">
        <v>53</v>
      </c>
      <c r="C19" s="1" t="s">
        <v>8</v>
      </c>
      <c r="D19" s="1" t="s">
        <v>9</v>
      </c>
      <c r="E19" s="1" t="s">
        <v>30</v>
      </c>
      <c r="F19" s="1">
        <v>62000</v>
      </c>
      <c r="G19" s="1">
        <v>55000</v>
      </c>
      <c r="H19" s="20" t="str">
        <f t="shared" si="0"/>
        <v>ACHIEVED</v>
      </c>
    </row>
    <row r="20" spans="1:8" x14ac:dyDescent="0.3">
      <c r="A20" s="2">
        <v>45310</v>
      </c>
      <c r="B20" s="1" t="s">
        <v>55</v>
      </c>
      <c r="C20" s="1" t="s">
        <v>16</v>
      </c>
      <c r="D20" s="1" t="s">
        <v>13</v>
      </c>
      <c r="E20" s="1" t="s">
        <v>56</v>
      </c>
      <c r="F20" s="1">
        <v>27000</v>
      </c>
      <c r="G20" s="1">
        <v>30000</v>
      </c>
      <c r="H20" s="20" t="str">
        <f t="shared" si="0"/>
        <v>NOT ACHIEVED</v>
      </c>
    </row>
    <row r="21" spans="1:8" x14ac:dyDescent="0.3">
      <c r="A21" s="2">
        <v>45311</v>
      </c>
      <c r="B21" s="1" t="s">
        <v>58</v>
      </c>
      <c r="C21" s="1" t="s">
        <v>20</v>
      </c>
      <c r="D21" s="1" t="s">
        <v>17</v>
      </c>
      <c r="E21" s="1" t="s">
        <v>59</v>
      </c>
      <c r="F21" s="1">
        <v>33000</v>
      </c>
      <c r="G21" s="1">
        <v>30000</v>
      </c>
      <c r="H21" s="20" t="str">
        <f t="shared" si="0"/>
        <v>ACHIEVED</v>
      </c>
    </row>
    <row r="22" spans="1:8" x14ac:dyDescent="0.3">
      <c r="A22" s="2">
        <v>45312</v>
      </c>
      <c r="B22" s="1" t="s">
        <v>61</v>
      </c>
      <c r="C22" s="1" t="s">
        <v>12</v>
      </c>
      <c r="D22" s="1" t="s">
        <v>9</v>
      </c>
      <c r="E22" s="1" t="s">
        <v>10</v>
      </c>
      <c r="F22" s="1">
        <v>54000</v>
      </c>
      <c r="G22" s="1">
        <v>50000</v>
      </c>
      <c r="H22" s="20" t="str">
        <f t="shared" si="0"/>
        <v>ACHIEVED</v>
      </c>
    </row>
    <row r="23" spans="1:8" x14ac:dyDescent="0.3">
      <c r="A23" s="2">
        <v>45313</v>
      </c>
      <c r="B23" s="1" t="s">
        <v>63</v>
      </c>
      <c r="C23" s="1" t="s">
        <v>8</v>
      </c>
      <c r="D23" s="1" t="s">
        <v>23</v>
      </c>
      <c r="E23" s="1" t="s">
        <v>24</v>
      </c>
      <c r="F23" s="1">
        <v>46000</v>
      </c>
      <c r="G23" s="1">
        <v>45000</v>
      </c>
      <c r="H23" s="20" t="str">
        <f t="shared" si="0"/>
        <v>ACHIEVED</v>
      </c>
    </row>
    <row r="24" spans="1:8" x14ac:dyDescent="0.3">
      <c r="A24" s="2">
        <v>45314</v>
      </c>
      <c r="B24" s="1" t="s">
        <v>65</v>
      </c>
      <c r="C24" s="1" t="s">
        <v>20</v>
      </c>
      <c r="D24" s="1" t="s">
        <v>13</v>
      </c>
      <c r="E24" s="1" t="s">
        <v>14</v>
      </c>
      <c r="F24" s="1">
        <v>30000</v>
      </c>
      <c r="G24" s="1">
        <v>30000</v>
      </c>
      <c r="H24" s="20" t="str">
        <f t="shared" si="0"/>
        <v>NOT ACHIEVED</v>
      </c>
    </row>
    <row r="25" spans="1:8" x14ac:dyDescent="0.3">
      <c r="A25" s="2">
        <v>45315</v>
      </c>
      <c r="B25" s="1" t="s">
        <v>67</v>
      </c>
      <c r="C25" s="1" t="s">
        <v>16</v>
      </c>
      <c r="D25" s="1" t="s">
        <v>17</v>
      </c>
      <c r="E25" s="1" t="s">
        <v>28</v>
      </c>
      <c r="F25" s="1">
        <v>37000</v>
      </c>
      <c r="G25" s="1">
        <v>35000</v>
      </c>
      <c r="H25" s="20" t="str">
        <f t="shared" si="0"/>
        <v>ACHIEVED</v>
      </c>
    </row>
    <row r="26" spans="1:8" x14ac:dyDescent="0.3">
      <c r="A26" s="2">
        <v>45316</v>
      </c>
      <c r="B26" s="1" t="s">
        <v>69</v>
      </c>
      <c r="C26" s="1" t="s">
        <v>12</v>
      </c>
      <c r="D26" s="1" t="s">
        <v>9</v>
      </c>
      <c r="E26" s="1" t="s">
        <v>21</v>
      </c>
      <c r="F26" s="1">
        <v>58000</v>
      </c>
      <c r="G26" s="1">
        <v>55000</v>
      </c>
      <c r="H26" s="20" t="str">
        <f t="shared" si="0"/>
        <v>ACHIEVED</v>
      </c>
    </row>
    <row r="27" spans="1:8" x14ac:dyDescent="0.3">
      <c r="A27" s="2">
        <v>45317</v>
      </c>
      <c r="B27" s="1" t="s">
        <v>71</v>
      </c>
      <c r="C27" s="1" t="s">
        <v>20</v>
      </c>
      <c r="D27" s="1" t="s">
        <v>23</v>
      </c>
      <c r="E27" s="1" t="s">
        <v>32</v>
      </c>
      <c r="F27" s="1">
        <v>41000</v>
      </c>
      <c r="G27" s="1">
        <v>40000</v>
      </c>
      <c r="H27" s="20" t="str">
        <f t="shared" si="0"/>
        <v>ACHIEVED</v>
      </c>
    </row>
    <row r="28" spans="1:8" x14ac:dyDescent="0.3">
      <c r="A28" s="2">
        <v>45318</v>
      </c>
      <c r="B28" s="1" t="s">
        <v>73</v>
      </c>
      <c r="C28" s="1" t="s">
        <v>8</v>
      </c>
      <c r="D28" s="1" t="s">
        <v>13</v>
      </c>
      <c r="E28" s="1" t="s">
        <v>34</v>
      </c>
      <c r="F28" s="1">
        <v>35000</v>
      </c>
      <c r="G28" s="1">
        <v>35000</v>
      </c>
      <c r="H28" s="20" t="str">
        <f t="shared" si="0"/>
        <v>NOT ACHIEVED</v>
      </c>
    </row>
    <row r="29" spans="1:8" x14ac:dyDescent="0.3">
      <c r="A29" s="2">
        <v>45319</v>
      </c>
      <c r="B29" s="1" t="s">
        <v>75</v>
      </c>
      <c r="C29" s="1" t="s">
        <v>12</v>
      </c>
      <c r="D29" s="1" t="s">
        <v>17</v>
      </c>
      <c r="E29" s="1" t="s">
        <v>18</v>
      </c>
      <c r="F29" s="1">
        <v>26000</v>
      </c>
      <c r="G29" s="1">
        <v>30000</v>
      </c>
      <c r="H29" s="20" t="str">
        <f t="shared" si="0"/>
        <v>NOT ACHIEVED</v>
      </c>
    </row>
    <row r="30" spans="1:8" x14ac:dyDescent="0.3">
      <c r="A30" s="2">
        <v>45320</v>
      </c>
      <c r="B30" s="1" t="s">
        <v>77</v>
      </c>
      <c r="C30" s="1" t="s">
        <v>16</v>
      </c>
      <c r="D30" s="1" t="s">
        <v>9</v>
      </c>
      <c r="E30" s="1" t="s">
        <v>30</v>
      </c>
      <c r="F30" s="1">
        <v>49000</v>
      </c>
      <c r="G30" s="1">
        <v>45000</v>
      </c>
      <c r="H30" s="20" t="str">
        <f t="shared" si="0"/>
        <v>ACHIEVED</v>
      </c>
    </row>
    <row r="31" spans="1:8" x14ac:dyDescent="0.3">
      <c r="A31" s="2">
        <v>45321</v>
      </c>
      <c r="B31" s="1" t="s">
        <v>79</v>
      </c>
      <c r="C31" s="1" t="s">
        <v>20</v>
      </c>
      <c r="D31" s="1" t="s">
        <v>23</v>
      </c>
      <c r="E31" s="1" t="s">
        <v>40</v>
      </c>
      <c r="F31" s="1">
        <v>44000</v>
      </c>
      <c r="G31" s="1">
        <v>40000</v>
      </c>
      <c r="H31" s="20" t="str">
        <f t="shared" si="0"/>
        <v>ACHIEVED</v>
      </c>
    </row>
    <row r="32" spans="1:8" x14ac:dyDescent="0.3">
      <c r="A32" s="2">
        <v>45322</v>
      </c>
      <c r="B32" s="1" t="s">
        <v>81</v>
      </c>
      <c r="C32" s="1" t="s">
        <v>8</v>
      </c>
      <c r="D32" s="1" t="s">
        <v>13</v>
      </c>
      <c r="E32" s="1" t="s">
        <v>26</v>
      </c>
      <c r="F32" s="1">
        <v>38000</v>
      </c>
      <c r="G32" s="1">
        <v>35000</v>
      </c>
      <c r="H32" s="20" t="str">
        <f t="shared" si="0"/>
        <v>ACHIEVED</v>
      </c>
    </row>
    <row r="33" spans="1:8" x14ac:dyDescent="0.3">
      <c r="A33" s="2">
        <v>45323</v>
      </c>
      <c r="B33" s="1" t="s">
        <v>82</v>
      </c>
      <c r="C33" s="1" t="s">
        <v>12</v>
      </c>
      <c r="D33" s="1" t="s">
        <v>17</v>
      </c>
      <c r="E33" s="1" t="s">
        <v>37</v>
      </c>
      <c r="F33" s="1">
        <v>52000</v>
      </c>
      <c r="G33" s="1">
        <v>45000</v>
      </c>
      <c r="H33" s="20" t="str">
        <f t="shared" si="0"/>
        <v>ACHIEVED</v>
      </c>
    </row>
    <row r="34" spans="1:8" x14ac:dyDescent="0.3">
      <c r="A34" s="2">
        <v>45324</v>
      </c>
      <c r="B34" s="1" t="s">
        <v>83</v>
      </c>
      <c r="C34" s="1" t="s">
        <v>20</v>
      </c>
      <c r="D34" s="1" t="s">
        <v>9</v>
      </c>
      <c r="E34" s="1" t="s">
        <v>10</v>
      </c>
      <c r="F34" s="1">
        <v>31000</v>
      </c>
      <c r="G34" s="1">
        <v>40000</v>
      </c>
      <c r="H34" s="20" t="str">
        <f t="shared" si="0"/>
        <v>NOT ACHIEVED</v>
      </c>
    </row>
    <row r="35" spans="1:8" x14ac:dyDescent="0.3">
      <c r="A35" s="2">
        <v>45325</v>
      </c>
      <c r="B35" s="1" t="s">
        <v>84</v>
      </c>
      <c r="C35" s="1" t="s">
        <v>16</v>
      </c>
      <c r="D35" s="1" t="s">
        <v>23</v>
      </c>
      <c r="E35" s="1" t="s">
        <v>51</v>
      </c>
      <c r="F35" s="1">
        <v>57000</v>
      </c>
      <c r="G35" s="1">
        <v>50000</v>
      </c>
      <c r="H35" s="20" t="str">
        <f t="shared" si="0"/>
        <v>ACHIEVED</v>
      </c>
    </row>
    <row r="36" spans="1:8" x14ac:dyDescent="0.3">
      <c r="A36" s="2">
        <v>45326</v>
      </c>
      <c r="B36" s="1" t="s">
        <v>85</v>
      </c>
      <c r="C36" s="1" t="s">
        <v>12</v>
      </c>
      <c r="D36" s="1" t="s">
        <v>13</v>
      </c>
      <c r="E36" s="1" t="s">
        <v>45</v>
      </c>
      <c r="F36" s="1">
        <v>29500</v>
      </c>
      <c r="G36" s="1">
        <v>30000</v>
      </c>
      <c r="H36" s="20" t="str">
        <f t="shared" si="0"/>
        <v>NOT ACHIEVED</v>
      </c>
    </row>
    <row r="37" spans="1:8" x14ac:dyDescent="0.3">
      <c r="A37" s="2">
        <v>45327</v>
      </c>
      <c r="B37" s="1" t="s">
        <v>86</v>
      </c>
      <c r="C37" s="1" t="s">
        <v>8</v>
      </c>
      <c r="D37" s="1" t="s">
        <v>17</v>
      </c>
      <c r="E37" s="1" t="s">
        <v>48</v>
      </c>
      <c r="F37" s="1">
        <v>46500</v>
      </c>
      <c r="G37" s="1">
        <v>45000</v>
      </c>
      <c r="H37" s="20" t="str">
        <f t="shared" si="0"/>
        <v>ACHIEVED</v>
      </c>
    </row>
    <row r="38" spans="1:8" x14ac:dyDescent="0.3">
      <c r="A38" s="2">
        <v>45328</v>
      </c>
      <c r="B38" s="1" t="s">
        <v>87</v>
      </c>
      <c r="C38" s="1" t="s">
        <v>20</v>
      </c>
      <c r="D38" s="1" t="s">
        <v>9</v>
      </c>
      <c r="E38" s="1" t="s">
        <v>21</v>
      </c>
      <c r="F38" s="1">
        <v>61000</v>
      </c>
      <c r="G38" s="1">
        <v>55000</v>
      </c>
      <c r="H38" s="20" t="str">
        <f t="shared" si="0"/>
        <v>ACHIEVED</v>
      </c>
    </row>
    <row r="39" spans="1:8" x14ac:dyDescent="0.3">
      <c r="A39" s="2">
        <v>45329</v>
      </c>
      <c r="B39" s="1" t="s">
        <v>88</v>
      </c>
      <c r="C39" s="1" t="s">
        <v>12</v>
      </c>
      <c r="D39" s="1" t="s">
        <v>23</v>
      </c>
      <c r="E39" s="1" t="s">
        <v>24</v>
      </c>
      <c r="F39" s="1">
        <v>35500</v>
      </c>
      <c r="G39" s="1">
        <v>35000</v>
      </c>
      <c r="H39" s="20" t="str">
        <f t="shared" si="0"/>
        <v>ACHIEVED</v>
      </c>
    </row>
    <row r="40" spans="1:8" x14ac:dyDescent="0.3">
      <c r="A40" s="2">
        <v>45330</v>
      </c>
      <c r="B40" s="1" t="s">
        <v>89</v>
      </c>
      <c r="C40" s="1" t="s">
        <v>16</v>
      </c>
      <c r="D40" s="1" t="s">
        <v>13</v>
      </c>
      <c r="E40" s="1" t="s">
        <v>56</v>
      </c>
      <c r="F40" s="1">
        <v>27500</v>
      </c>
      <c r="G40" s="1">
        <v>30000</v>
      </c>
      <c r="H40" s="20" t="str">
        <f t="shared" si="0"/>
        <v>NOT ACHIEVED</v>
      </c>
    </row>
    <row r="41" spans="1:8" x14ac:dyDescent="0.3">
      <c r="A41" s="2">
        <v>45331</v>
      </c>
      <c r="B41" s="1" t="s">
        <v>90</v>
      </c>
      <c r="C41" s="1" t="s">
        <v>20</v>
      </c>
      <c r="D41" s="1" t="s">
        <v>17</v>
      </c>
      <c r="E41" s="1" t="s">
        <v>59</v>
      </c>
      <c r="F41" s="1">
        <v>33500</v>
      </c>
      <c r="G41" s="1">
        <v>30000</v>
      </c>
      <c r="H41" s="20" t="str">
        <f t="shared" si="0"/>
        <v>ACHIEVED</v>
      </c>
    </row>
    <row r="42" spans="1:8" x14ac:dyDescent="0.3">
      <c r="A42" s="2">
        <v>45332</v>
      </c>
      <c r="B42" s="1" t="s">
        <v>91</v>
      </c>
      <c r="C42" s="1" t="s">
        <v>8</v>
      </c>
      <c r="D42" s="1" t="s">
        <v>9</v>
      </c>
      <c r="E42" s="1" t="s">
        <v>30</v>
      </c>
      <c r="F42" s="1">
        <v>68000</v>
      </c>
      <c r="G42" s="1">
        <v>60000</v>
      </c>
      <c r="H42" s="20" t="str">
        <f t="shared" si="0"/>
        <v>ACHIEVED</v>
      </c>
    </row>
    <row r="43" spans="1:8" x14ac:dyDescent="0.3">
      <c r="A43" s="2">
        <v>45333</v>
      </c>
      <c r="B43" s="1" t="s">
        <v>92</v>
      </c>
      <c r="C43" s="1" t="s">
        <v>12</v>
      </c>
      <c r="D43" s="1" t="s">
        <v>23</v>
      </c>
      <c r="E43" s="1" t="s">
        <v>32</v>
      </c>
      <c r="F43" s="1">
        <v>43000</v>
      </c>
      <c r="G43" s="1">
        <v>40000</v>
      </c>
      <c r="H43" s="20" t="str">
        <f t="shared" si="0"/>
        <v>ACHIEVED</v>
      </c>
    </row>
    <row r="44" spans="1:8" x14ac:dyDescent="0.3">
      <c r="A44" s="2">
        <v>45334</v>
      </c>
      <c r="B44" s="1" t="s">
        <v>93</v>
      </c>
      <c r="C44" s="1" t="s">
        <v>20</v>
      </c>
      <c r="D44" s="1" t="s">
        <v>13</v>
      </c>
      <c r="E44" s="1" t="s">
        <v>14</v>
      </c>
      <c r="F44" s="1">
        <v>31500</v>
      </c>
      <c r="G44" s="1">
        <v>30000</v>
      </c>
      <c r="H44" s="20" t="str">
        <f t="shared" si="0"/>
        <v>ACHIEVED</v>
      </c>
    </row>
    <row r="45" spans="1:8" x14ac:dyDescent="0.3">
      <c r="A45" s="2">
        <v>45335</v>
      </c>
      <c r="B45" s="1" t="s">
        <v>95</v>
      </c>
      <c r="C45" s="1" t="s">
        <v>16</v>
      </c>
      <c r="D45" s="1" t="s">
        <v>17</v>
      </c>
      <c r="E45" s="1" t="s">
        <v>28</v>
      </c>
      <c r="F45" s="1">
        <v>25500</v>
      </c>
      <c r="G45" s="1">
        <v>30000</v>
      </c>
      <c r="H45" s="20" t="str">
        <f t="shared" si="0"/>
        <v>NOT ACHIEVED</v>
      </c>
    </row>
    <row r="46" spans="1:8" x14ac:dyDescent="0.3">
      <c r="A46" s="2">
        <v>45336</v>
      </c>
      <c r="B46" s="1" t="s">
        <v>97</v>
      </c>
      <c r="C46" s="1" t="s">
        <v>12</v>
      </c>
      <c r="D46" s="1" t="s">
        <v>9</v>
      </c>
      <c r="E46" s="1" t="s">
        <v>10</v>
      </c>
      <c r="F46" s="1">
        <v>60000</v>
      </c>
      <c r="G46" s="1">
        <v>55000</v>
      </c>
      <c r="H46" s="20" t="str">
        <f t="shared" si="0"/>
        <v>ACHIEVED</v>
      </c>
    </row>
    <row r="47" spans="1:8" x14ac:dyDescent="0.3">
      <c r="A47" s="2">
        <v>45337</v>
      </c>
      <c r="B47" s="1" t="s">
        <v>99</v>
      </c>
      <c r="C47" s="1" t="s">
        <v>8</v>
      </c>
      <c r="D47" s="1" t="s">
        <v>23</v>
      </c>
      <c r="E47" s="1" t="s">
        <v>40</v>
      </c>
      <c r="F47" s="1">
        <v>47000</v>
      </c>
      <c r="G47" s="1">
        <v>45000</v>
      </c>
      <c r="H47" s="20" t="str">
        <f t="shared" si="0"/>
        <v>ACHIEVED</v>
      </c>
    </row>
    <row r="48" spans="1:8" x14ac:dyDescent="0.3">
      <c r="A48" s="2">
        <v>45338</v>
      </c>
      <c r="B48" s="1" t="s">
        <v>101</v>
      </c>
      <c r="C48" s="1" t="s">
        <v>20</v>
      </c>
      <c r="D48" s="1" t="s">
        <v>13</v>
      </c>
      <c r="E48" s="1" t="s">
        <v>26</v>
      </c>
      <c r="F48" s="1">
        <v>36000</v>
      </c>
      <c r="G48" s="1">
        <v>35000</v>
      </c>
      <c r="H48" s="20" t="str">
        <f t="shared" si="0"/>
        <v>ACHIEVED</v>
      </c>
    </row>
    <row r="49" spans="1:8" x14ac:dyDescent="0.3">
      <c r="A49" s="2">
        <v>45339</v>
      </c>
      <c r="B49" s="1" t="s">
        <v>103</v>
      </c>
      <c r="C49" s="1" t="s">
        <v>16</v>
      </c>
      <c r="D49" s="1" t="s">
        <v>17</v>
      </c>
      <c r="E49" s="1" t="s">
        <v>18</v>
      </c>
      <c r="F49" s="1">
        <v>41000</v>
      </c>
      <c r="G49" s="1">
        <v>35000</v>
      </c>
      <c r="H49" s="20" t="str">
        <f t="shared" si="0"/>
        <v>ACHIEVED</v>
      </c>
    </row>
    <row r="50" spans="1:8" x14ac:dyDescent="0.3">
      <c r="A50" s="2">
        <v>45340</v>
      </c>
      <c r="B50" s="1" t="s">
        <v>105</v>
      </c>
      <c r="C50" s="1" t="s">
        <v>8</v>
      </c>
      <c r="D50" s="1" t="s">
        <v>9</v>
      </c>
      <c r="E50" s="1" t="s">
        <v>21</v>
      </c>
      <c r="F50" s="1">
        <v>53000</v>
      </c>
      <c r="G50" s="1">
        <v>50000</v>
      </c>
      <c r="H50" s="20" t="str">
        <f t="shared" si="0"/>
        <v>ACHIEVED</v>
      </c>
    </row>
    <row r="51" spans="1:8" x14ac:dyDescent="0.3">
      <c r="A51" s="2">
        <v>45341</v>
      </c>
      <c r="B51" s="1" t="s">
        <v>107</v>
      </c>
      <c r="C51" s="1" t="s">
        <v>12</v>
      </c>
      <c r="D51" s="1" t="s">
        <v>23</v>
      </c>
      <c r="E51" s="1" t="s">
        <v>51</v>
      </c>
      <c r="F51" s="1">
        <v>39000</v>
      </c>
      <c r="G51" s="1">
        <v>38000</v>
      </c>
      <c r="H51" s="20" t="str">
        <f t="shared" si="0"/>
        <v>ACHIEVED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D980-3B87-44F5-A1E3-74AF795185EB}">
  <sheetPr>
    <tabColor rgb="FF92D050"/>
  </sheetPr>
  <dimension ref="A1:L51"/>
  <sheetViews>
    <sheetView workbookViewId="0">
      <selection activeCell="J17" sqref="J17"/>
    </sheetView>
  </sheetViews>
  <sheetFormatPr defaultColWidth="12.44140625" defaultRowHeight="14.4" x14ac:dyDescent="0.3"/>
  <cols>
    <col min="9" max="9" width="12.5546875" bestFit="1" customWidth="1"/>
    <col min="10" max="10" width="11.6640625" bestFit="1" customWidth="1"/>
    <col min="11" max="11" width="10" bestFit="1" customWidth="1"/>
    <col min="12" max="12" width="8.6640625" bestFit="1" customWidth="1"/>
    <col min="13" max="13" width="7.5546875" bestFit="1" customWidth="1"/>
    <col min="14" max="14" width="10.7773437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2" x14ac:dyDescent="0.3">
      <c r="A2" s="2">
        <v>45292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55000</v>
      </c>
      <c r="G2" s="1">
        <v>50000</v>
      </c>
      <c r="I2" s="5" t="s">
        <v>113</v>
      </c>
      <c r="J2" s="5"/>
      <c r="K2" s="5"/>
      <c r="L2" s="5"/>
    </row>
    <row r="3" spans="1:12" x14ac:dyDescent="0.3">
      <c r="A3" s="2">
        <v>45293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32000</v>
      </c>
      <c r="G3" s="1">
        <v>35000</v>
      </c>
    </row>
    <row r="4" spans="1:12" x14ac:dyDescent="0.3">
      <c r="A4" s="2">
        <v>45294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28000</v>
      </c>
      <c r="G4" s="1">
        <v>30000</v>
      </c>
    </row>
    <row r="5" spans="1:12" x14ac:dyDescent="0.3">
      <c r="A5" s="2">
        <v>45295</v>
      </c>
      <c r="B5" s="1" t="s">
        <v>19</v>
      </c>
      <c r="C5" s="1" t="s">
        <v>20</v>
      </c>
      <c r="D5" s="1" t="s">
        <v>9</v>
      </c>
      <c r="E5" s="1" t="s">
        <v>21</v>
      </c>
      <c r="F5" s="1">
        <v>52000</v>
      </c>
      <c r="G5" s="1">
        <v>45000</v>
      </c>
      <c r="I5" s="25" t="s">
        <v>121</v>
      </c>
      <c r="J5" s="20" t="s">
        <v>123</v>
      </c>
    </row>
    <row r="6" spans="1:12" x14ac:dyDescent="0.3">
      <c r="A6" s="2">
        <v>45296</v>
      </c>
      <c r="B6" s="1" t="s">
        <v>22</v>
      </c>
      <c r="C6" s="1" t="s">
        <v>8</v>
      </c>
      <c r="D6" s="1" t="s">
        <v>23</v>
      </c>
      <c r="E6" s="1" t="s">
        <v>24</v>
      </c>
      <c r="F6" s="1">
        <v>61000</v>
      </c>
      <c r="G6" s="1">
        <v>50000</v>
      </c>
      <c r="I6" s="26" t="s">
        <v>17</v>
      </c>
      <c r="J6" s="27">
        <v>454500</v>
      </c>
    </row>
    <row r="7" spans="1:12" x14ac:dyDescent="0.3">
      <c r="A7" s="2">
        <v>45297</v>
      </c>
      <c r="B7" s="1" t="s">
        <v>25</v>
      </c>
      <c r="C7" s="1" t="s">
        <v>12</v>
      </c>
      <c r="D7" s="1" t="s">
        <v>13</v>
      </c>
      <c r="E7" s="1" t="s">
        <v>26</v>
      </c>
      <c r="F7" s="1">
        <v>39000</v>
      </c>
      <c r="G7" s="1">
        <v>35000</v>
      </c>
      <c r="I7" s="26" t="s">
        <v>9</v>
      </c>
      <c r="J7" s="27">
        <v>776000</v>
      </c>
    </row>
    <row r="8" spans="1:12" x14ac:dyDescent="0.3">
      <c r="A8" s="2">
        <v>45298</v>
      </c>
      <c r="B8" s="1" t="s">
        <v>27</v>
      </c>
      <c r="C8" s="1" t="s">
        <v>20</v>
      </c>
      <c r="D8" s="1" t="s">
        <v>17</v>
      </c>
      <c r="E8" s="1" t="s">
        <v>28</v>
      </c>
      <c r="F8" s="1">
        <v>47000</v>
      </c>
      <c r="G8" s="1">
        <v>40000</v>
      </c>
      <c r="I8" s="26" t="s">
        <v>23</v>
      </c>
      <c r="J8" s="27">
        <v>517500</v>
      </c>
    </row>
    <row r="9" spans="1:12" x14ac:dyDescent="0.3">
      <c r="A9" s="2">
        <v>45299</v>
      </c>
      <c r="B9" s="1" t="s">
        <v>29</v>
      </c>
      <c r="C9" s="1" t="s">
        <v>16</v>
      </c>
      <c r="D9" s="1" t="s">
        <v>9</v>
      </c>
      <c r="E9" s="1" t="s">
        <v>30</v>
      </c>
      <c r="F9" s="1">
        <v>55000</v>
      </c>
      <c r="G9" s="1">
        <v>50000</v>
      </c>
      <c r="I9" s="26" t="s">
        <v>13</v>
      </c>
      <c r="J9" s="27">
        <v>385500</v>
      </c>
    </row>
    <row r="10" spans="1:12" x14ac:dyDescent="0.3">
      <c r="A10" s="2">
        <v>45300</v>
      </c>
      <c r="B10" s="1" t="s">
        <v>31</v>
      </c>
      <c r="C10" s="1" t="s">
        <v>8</v>
      </c>
      <c r="D10" s="1" t="s">
        <v>23</v>
      </c>
      <c r="E10" s="1" t="s">
        <v>32</v>
      </c>
      <c r="F10" s="1">
        <v>26000</v>
      </c>
      <c r="G10" s="1">
        <v>30000</v>
      </c>
      <c r="I10" s="26" t="s">
        <v>122</v>
      </c>
      <c r="J10" s="27">
        <v>2133500</v>
      </c>
    </row>
    <row r="11" spans="1:12" x14ac:dyDescent="0.3">
      <c r="A11" s="2">
        <v>45301</v>
      </c>
      <c r="B11" s="1" t="s">
        <v>33</v>
      </c>
      <c r="C11" s="1" t="s">
        <v>20</v>
      </c>
      <c r="D11" s="1" t="s">
        <v>13</v>
      </c>
      <c r="E11" s="1" t="s">
        <v>34</v>
      </c>
      <c r="F11" s="1">
        <v>31000</v>
      </c>
      <c r="G11" s="1">
        <v>30000</v>
      </c>
    </row>
    <row r="12" spans="1:12" x14ac:dyDescent="0.3">
      <c r="A12" s="2">
        <v>45302</v>
      </c>
      <c r="B12" s="1" t="s">
        <v>35</v>
      </c>
      <c r="C12" s="1" t="s">
        <v>12</v>
      </c>
      <c r="D12" s="1" t="s">
        <v>9</v>
      </c>
      <c r="E12" s="1" t="s">
        <v>10</v>
      </c>
      <c r="F12" s="1">
        <v>48000</v>
      </c>
      <c r="G12" s="1">
        <v>45000</v>
      </c>
    </row>
    <row r="13" spans="1:12" x14ac:dyDescent="0.3">
      <c r="A13" s="2">
        <v>45303</v>
      </c>
      <c r="B13" s="1" t="s">
        <v>36</v>
      </c>
      <c r="C13" s="1" t="s">
        <v>16</v>
      </c>
      <c r="D13" s="1" t="s">
        <v>17</v>
      </c>
      <c r="E13" s="1" t="s">
        <v>37</v>
      </c>
      <c r="F13" s="1">
        <v>34000</v>
      </c>
      <c r="G13" s="1">
        <v>30000</v>
      </c>
    </row>
    <row r="14" spans="1:12" x14ac:dyDescent="0.3">
      <c r="A14" s="2">
        <v>45304</v>
      </c>
      <c r="B14" s="1" t="s">
        <v>39</v>
      </c>
      <c r="C14" s="1" t="s">
        <v>20</v>
      </c>
      <c r="D14" s="1" t="s">
        <v>23</v>
      </c>
      <c r="E14" s="1" t="s">
        <v>40</v>
      </c>
      <c r="F14" s="1">
        <v>42000</v>
      </c>
      <c r="G14" s="1">
        <v>40000</v>
      </c>
    </row>
    <row r="15" spans="1:12" x14ac:dyDescent="0.3">
      <c r="A15" s="2">
        <v>45305</v>
      </c>
      <c r="B15" s="1" t="s">
        <v>42</v>
      </c>
      <c r="C15" s="1" t="s">
        <v>8</v>
      </c>
      <c r="D15" s="1" t="s">
        <v>9</v>
      </c>
      <c r="E15" s="1" t="s">
        <v>21</v>
      </c>
      <c r="F15" s="1">
        <v>70000</v>
      </c>
      <c r="G15" s="1">
        <v>60000</v>
      </c>
    </row>
    <row r="16" spans="1:12" x14ac:dyDescent="0.3">
      <c r="A16" s="2">
        <v>45306</v>
      </c>
      <c r="B16" s="1" t="s">
        <v>44</v>
      </c>
      <c r="C16" s="1" t="s">
        <v>16</v>
      </c>
      <c r="D16" s="1" t="s">
        <v>13</v>
      </c>
      <c r="E16" s="1" t="s">
        <v>45</v>
      </c>
      <c r="F16" s="1">
        <v>29000</v>
      </c>
      <c r="G16" s="1">
        <v>30000</v>
      </c>
    </row>
    <row r="17" spans="1:7" x14ac:dyDescent="0.3">
      <c r="A17" s="2">
        <v>45307</v>
      </c>
      <c r="B17" s="1" t="s">
        <v>47</v>
      </c>
      <c r="C17" s="1" t="s">
        <v>12</v>
      </c>
      <c r="D17" s="1" t="s">
        <v>17</v>
      </c>
      <c r="E17" s="1" t="s">
        <v>48</v>
      </c>
      <c r="F17" s="1">
        <v>51000</v>
      </c>
      <c r="G17" s="1">
        <v>45000</v>
      </c>
    </row>
    <row r="18" spans="1:7" x14ac:dyDescent="0.3">
      <c r="A18" s="2">
        <v>45308</v>
      </c>
      <c r="B18" s="1" t="s">
        <v>50</v>
      </c>
      <c r="C18" s="1" t="s">
        <v>20</v>
      </c>
      <c r="D18" s="1" t="s">
        <v>23</v>
      </c>
      <c r="E18" s="1" t="s">
        <v>51</v>
      </c>
      <c r="F18" s="1">
        <v>36000</v>
      </c>
      <c r="G18" s="1">
        <v>35000</v>
      </c>
    </row>
    <row r="19" spans="1:7" x14ac:dyDescent="0.3">
      <c r="A19" s="2">
        <v>45309</v>
      </c>
      <c r="B19" s="1" t="s">
        <v>53</v>
      </c>
      <c r="C19" s="1" t="s">
        <v>8</v>
      </c>
      <c r="D19" s="1" t="s">
        <v>9</v>
      </c>
      <c r="E19" s="1" t="s">
        <v>30</v>
      </c>
      <c r="F19" s="1">
        <v>62000</v>
      </c>
      <c r="G19" s="1">
        <v>55000</v>
      </c>
    </row>
    <row r="20" spans="1:7" x14ac:dyDescent="0.3">
      <c r="A20" s="2">
        <v>45310</v>
      </c>
      <c r="B20" s="1" t="s">
        <v>55</v>
      </c>
      <c r="C20" s="1" t="s">
        <v>16</v>
      </c>
      <c r="D20" s="1" t="s">
        <v>13</v>
      </c>
      <c r="E20" s="1" t="s">
        <v>56</v>
      </c>
      <c r="F20" s="1">
        <v>27000</v>
      </c>
      <c r="G20" s="1">
        <v>30000</v>
      </c>
    </row>
    <row r="21" spans="1:7" x14ac:dyDescent="0.3">
      <c r="A21" s="2">
        <v>45311</v>
      </c>
      <c r="B21" s="1" t="s">
        <v>58</v>
      </c>
      <c r="C21" s="1" t="s">
        <v>20</v>
      </c>
      <c r="D21" s="1" t="s">
        <v>17</v>
      </c>
      <c r="E21" s="1" t="s">
        <v>59</v>
      </c>
      <c r="F21" s="1">
        <v>33000</v>
      </c>
      <c r="G21" s="1">
        <v>30000</v>
      </c>
    </row>
    <row r="22" spans="1:7" x14ac:dyDescent="0.3">
      <c r="A22" s="2">
        <v>45312</v>
      </c>
      <c r="B22" s="1" t="s">
        <v>61</v>
      </c>
      <c r="C22" s="1" t="s">
        <v>12</v>
      </c>
      <c r="D22" s="1" t="s">
        <v>9</v>
      </c>
      <c r="E22" s="1" t="s">
        <v>10</v>
      </c>
      <c r="F22" s="1">
        <v>54000</v>
      </c>
      <c r="G22" s="1">
        <v>50000</v>
      </c>
    </row>
    <row r="23" spans="1:7" x14ac:dyDescent="0.3">
      <c r="A23" s="2">
        <v>45313</v>
      </c>
      <c r="B23" s="1" t="s">
        <v>63</v>
      </c>
      <c r="C23" s="1" t="s">
        <v>8</v>
      </c>
      <c r="D23" s="1" t="s">
        <v>23</v>
      </c>
      <c r="E23" s="1" t="s">
        <v>24</v>
      </c>
      <c r="F23" s="1">
        <v>46000</v>
      </c>
      <c r="G23" s="1">
        <v>45000</v>
      </c>
    </row>
    <row r="24" spans="1:7" x14ac:dyDescent="0.3">
      <c r="A24" s="2">
        <v>45314</v>
      </c>
      <c r="B24" s="1" t="s">
        <v>65</v>
      </c>
      <c r="C24" s="1" t="s">
        <v>20</v>
      </c>
      <c r="D24" s="1" t="s">
        <v>13</v>
      </c>
      <c r="E24" s="1" t="s">
        <v>14</v>
      </c>
      <c r="F24" s="1">
        <v>30000</v>
      </c>
      <c r="G24" s="1">
        <v>30000</v>
      </c>
    </row>
    <row r="25" spans="1:7" x14ac:dyDescent="0.3">
      <c r="A25" s="2">
        <v>45315</v>
      </c>
      <c r="B25" s="1" t="s">
        <v>67</v>
      </c>
      <c r="C25" s="1" t="s">
        <v>16</v>
      </c>
      <c r="D25" s="1" t="s">
        <v>17</v>
      </c>
      <c r="E25" s="1" t="s">
        <v>28</v>
      </c>
      <c r="F25" s="1">
        <v>37000</v>
      </c>
      <c r="G25" s="1">
        <v>35000</v>
      </c>
    </row>
    <row r="26" spans="1:7" x14ac:dyDescent="0.3">
      <c r="A26" s="2">
        <v>45316</v>
      </c>
      <c r="B26" s="1" t="s">
        <v>69</v>
      </c>
      <c r="C26" s="1" t="s">
        <v>12</v>
      </c>
      <c r="D26" s="1" t="s">
        <v>9</v>
      </c>
      <c r="E26" s="1" t="s">
        <v>21</v>
      </c>
      <c r="F26" s="1">
        <v>58000</v>
      </c>
      <c r="G26" s="1">
        <v>55000</v>
      </c>
    </row>
    <row r="27" spans="1:7" x14ac:dyDescent="0.3">
      <c r="A27" s="2">
        <v>45317</v>
      </c>
      <c r="B27" s="1" t="s">
        <v>71</v>
      </c>
      <c r="C27" s="1" t="s">
        <v>20</v>
      </c>
      <c r="D27" s="1" t="s">
        <v>23</v>
      </c>
      <c r="E27" s="1" t="s">
        <v>32</v>
      </c>
      <c r="F27" s="1">
        <v>41000</v>
      </c>
      <c r="G27" s="1">
        <v>40000</v>
      </c>
    </row>
    <row r="28" spans="1:7" x14ac:dyDescent="0.3">
      <c r="A28" s="2">
        <v>45318</v>
      </c>
      <c r="B28" s="1" t="s">
        <v>73</v>
      </c>
      <c r="C28" s="1" t="s">
        <v>8</v>
      </c>
      <c r="D28" s="1" t="s">
        <v>13</v>
      </c>
      <c r="E28" s="1" t="s">
        <v>34</v>
      </c>
      <c r="F28" s="1">
        <v>35000</v>
      </c>
      <c r="G28" s="1">
        <v>35000</v>
      </c>
    </row>
    <row r="29" spans="1:7" x14ac:dyDescent="0.3">
      <c r="A29" s="2">
        <v>45319</v>
      </c>
      <c r="B29" s="1" t="s">
        <v>75</v>
      </c>
      <c r="C29" s="1" t="s">
        <v>12</v>
      </c>
      <c r="D29" s="1" t="s">
        <v>17</v>
      </c>
      <c r="E29" s="1" t="s">
        <v>18</v>
      </c>
      <c r="F29" s="1">
        <v>26000</v>
      </c>
      <c r="G29" s="1">
        <v>30000</v>
      </c>
    </row>
    <row r="30" spans="1:7" x14ac:dyDescent="0.3">
      <c r="A30" s="2">
        <v>45320</v>
      </c>
      <c r="B30" s="1" t="s">
        <v>77</v>
      </c>
      <c r="C30" s="1" t="s">
        <v>16</v>
      </c>
      <c r="D30" s="1" t="s">
        <v>9</v>
      </c>
      <c r="E30" s="1" t="s">
        <v>30</v>
      </c>
      <c r="F30" s="1">
        <v>49000</v>
      </c>
      <c r="G30" s="1">
        <v>45000</v>
      </c>
    </row>
    <row r="31" spans="1:7" x14ac:dyDescent="0.3">
      <c r="A31" s="2">
        <v>45321</v>
      </c>
      <c r="B31" s="1" t="s">
        <v>79</v>
      </c>
      <c r="C31" s="1" t="s">
        <v>20</v>
      </c>
      <c r="D31" s="1" t="s">
        <v>23</v>
      </c>
      <c r="E31" s="1" t="s">
        <v>40</v>
      </c>
      <c r="F31" s="1">
        <v>44000</v>
      </c>
      <c r="G31" s="1">
        <v>40000</v>
      </c>
    </row>
    <row r="32" spans="1:7" x14ac:dyDescent="0.3">
      <c r="A32" s="2">
        <v>45322</v>
      </c>
      <c r="B32" s="1" t="s">
        <v>81</v>
      </c>
      <c r="C32" s="1" t="s">
        <v>8</v>
      </c>
      <c r="D32" s="1" t="s">
        <v>13</v>
      </c>
      <c r="E32" s="1" t="s">
        <v>26</v>
      </c>
      <c r="F32" s="1">
        <v>38000</v>
      </c>
      <c r="G32" s="1">
        <v>35000</v>
      </c>
    </row>
    <row r="33" spans="1:7" x14ac:dyDescent="0.3">
      <c r="A33" s="2">
        <v>45323</v>
      </c>
      <c r="B33" s="1" t="s">
        <v>82</v>
      </c>
      <c r="C33" s="1" t="s">
        <v>12</v>
      </c>
      <c r="D33" s="1" t="s">
        <v>17</v>
      </c>
      <c r="E33" s="1" t="s">
        <v>37</v>
      </c>
      <c r="F33" s="1">
        <v>52000</v>
      </c>
      <c r="G33" s="1">
        <v>45000</v>
      </c>
    </row>
    <row r="34" spans="1:7" x14ac:dyDescent="0.3">
      <c r="A34" s="2">
        <v>45324</v>
      </c>
      <c r="B34" s="1" t="s">
        <v>83</v>
      </c>
      <c r="C34" s="1" t="s">
        <v>20</v>
      </c>
      <c r="D34" s="1" t="s">
        <v>9</v>
      </c>
      <c r="E34" s="1" t="s">
        <v>10</v>
      </c>
      <c r="F34" s="1">
        <v>31000</v>
      </c>
      <c r="G34" s="1">
        <v>40000</v>
      </c>
    </row>
    <row r="35" spans="1:7" x14ac:dyDescent="0.3">
      <c r="A35" s="2">
        <v>45325</v>
      </c>
      <c r="B35" s="1" t="s">
        <v>84</v>
      </c>
      <c r="C35" s="1" t="s">
        <v>16</v>
      </c>
      <c r="D35" s="1" t="s">
        <v>23</v>
      </c>
      <c r="E35" s="1" t="s">
        <v>51</v>
      </c>
      <c r="F35" s="1">
        <v>57000</v>
      </c>
      <c r="G35" s="1">
        <v>50000</v>
      </c>
    </row>
    <row r="36" spans="1:7" x14ac:dyDescent="0.3">
      <c r="A36" s="2">
        <v>45326</v>
      </c>
      <c r="B36" s="1" t="s">
        <v>85</v>
      </c>
      <c r="C36" s="1" t="s">
        <v>12</v>
      </c>
      <c r="D36" s="1" t="s">
        <v>13</v>
      </c>
      <c r="E36" s="1" t="s">
        <v>45</v>
      </c>
      <c r="F36" s="1">
        <v>29500</v>
      </c>
      <c r="G36" s="1">
        <v>30000</v>
      </c>
    </row>
    <row r="37" spans="1:7" x14ac:dyDescent="0.3">
      <c r="A37" s="2">
        <v>45327</v>
      </c>
      <c r="B37" s="1" t="s">
        <v>86</v>
      </c>
      <c r="C37" s="1" t="s">
        <v>8</v>
      </c>
      <c r="D37" s="1" t="s">
        <v>17</v>
      </c>
      <c r="E37" s="1" t="s">
        <v>48</v>
      </c>
      <c r="F37" s="1">
        <v>46500</v>
      </c>
      <c r="G37" s="1">
        <v>45000</v>
      </c>
    </row>
    <row r="38" spans="1:7" x14ac:dyDescent="0.3">
      <c r="A38" s="2">
        <v>45328</v>
      </c>
      <c r="B38" s="1" t="s">
        <v>87</v>
      </c>
      <c r="C38" s="1" t="s">
        <v>20</v>
      </c>
      <c r="D38" s="1" t="s">
        <v>9</v>
      </c>
      <c r="E38" s="1" t="s">
        <v>21</v>
      </c>
      <c r="F38" s="1">
        <v>61000</v>
      </c>
      <c r="G38" s="1">
        <v>55000</v>
      </c>
    </row>
    <row r="39" spans="1:7" x14ac:dyDescent="0.3">
      <c r="A39" s="2">
        <v>45329</v>
      </c>
      <c r="B39" s="1" t="s">
        <v>88</v>
      </c>
      <c r="C39" s="1" t="s">
        <v>12</v>
      </c>
      <c r="D39" s="1" t="s">
        <v>23</v>
      </c>
      <c r="E39" s="1" t="s">
        <v>24</v>
      </c>
      <c r="F39" s="1">
        <v>35500</v>
      </c>
      <c r="G39" s="1">
        <v>35000</v>
      </c>
    </row>
    <row r="40" spans="1:7" x14ac:dyDescent="0.3">
      <c r="A40" s="2">
        <v>45330</v>
      </c>
      <c r="B40" s="1" t="s">
        <v>89</v>
      </c>
      <c r="C40" s="1" t="s">
        <v>16</v>
      </c>
      <c r="D40" s="1" t="s">
        <v>13</v>
      </c>
      <c r="E40" s="1" t="s">
        <v>56</v>
      </c>
      <c r="F40" s="1">
        <v>27500</v>
      </c>
      <c r="G40" s="1">
        <v>30000</v>
      </c>
    </row>
    <row r="41" spans="1:7" x14ac:dyDescent="0.3">
      <c r="A41" s="2">
        <v>45331</v>
      </c>
      <c r="B41" s="1" t="s">
        <v>90</v>
      </c>
      <c r="C41" s="1" t="s">
        <v>20</v>
      </c>
      <c r="D41" s="1" t="s">
        <v>17</v>
      </c>
      <c r="E41" s="1" t="s">
        <v>59</v>
      </c>
      <c r="F41" s="1">
        <v>33500</v>
      </c>
      <c r="G41" s="1">
        <v>30000</v>
      </c>
    </row>
    <row r="42" spans="1:7" x14ac:dyDescent="0.3">
      <c r="A42" s="2">
        <v>45332</v>
      </c>
      <c r="B42" s="1" t="s">
        <v>91</v>
      </c>
      <c r="C42" s="1" t="s">
        <v>8</v>
      </c>
      <c r="D42" s="1" t="s">
        <v>9</v>
      </c>
      <c r="E42" s="1" t="s">
        <v>30</v>
      </c>
      <c r="F42" s="1">
        <v>68000</v>
      </c>
      <c r="G42" s="1">
        <v>60000</v>
      </c>
    </row>
    <row r="43" spans="1:7" x14ac:dyDescent="0.3">
      <c r="A43" s="2">
        <v>45333</v>
      </c>
      <c r="B43" s="1" t="s">
        <v>92</v>
      </c>
      <c r="C43" s="1" t="s">
        <v>12</v>
      </c>
      <c r="D43" s="1" t="s">
        <v>23</v>
      </c>
      <c r="E43" s="1" t="s">
        <v>32</v>
      </c>
      <c r="F43" s="1">
        <v>43000</v>
      </c>
      <c r="G43" s="1">
        <v>40000</v>
      </c>
    </row>
    <row r="44" spans="1:7" x14ac:dyDescent="0.3">
      <c r="A44" s="2">
        <v>45334</v>
      </c>
      <c r="B44" s="1" t="s">
        <v>93</v>
      </c>
      <c r="C44" s="1" t="s">
        <v>20</v>
      </c>
      <c r="D44" s="1" t="s">
        <v>13</v>
      </c>
      <c r="E44" s="1" t="s">
        <v>14</v>
      </c>
      <c r="F44" s="1">
        <v>31500</v>
      </c>
      <c r="G44" s="1">
        <v>30000</v>
      </c>
    </row>
    <row r="45" spans="1:7" x14ac:dyDescent="0.3">
      <c r="A45" s="2">
        <v>45335</v>
      </c>
      <c r="B45" s="1" t="s">
        <v>95</v>
      </c>
      <c r="C45" s="1" t="s">
        <v>16</v>
      </c>
      <c r="D45" s="1" t="s">
        <v>17</v>
      </c>
      <c r="E45" s="1" t="s">
        <v>28</v>
      </c>
      <c r="F45" s="1">
        <v>25500</v>
      </c>
      <c r="G45" s="1">
        <v>30000</v>
      </c>
    </row>
    <row r="46" spans="1:7" x14ac:dyDescent="0.3">
      <c r="A46" s="2">
        <v>45336</v>
      </c>
      <c r="B46" s="1" t="s">
        <v>97</v>
      </c>
      <c r="C46" s="1" t="s">
        <v>12</v>
      </c>
      <c r="D46" s="1" t="s">
        <v>9</v>
      </c>
      <c r="E46" s="1" t="s">
        <v>10</v>
      </c>
      <c r="F46" s="1">
        <v>60000</v>
      </c>
      <c r="G46" s="1">
        <v>55000</v>
      </c>
    </row>
    <row r="47" spans="1:7" x14ac:dyDescent="0.3">
      <c r="A47" s="2">
        <v>45337</v>
      </c>
      <c r="B47" s="1" t="s">
        <v>99</v>
      </c>
      <c r="C47" s="1" t="s">
        <v>8</v>
      </c>
      <c r="D47" s="1" t="s">
        <v>23</v>
      </c>
      <c r="E47" s="1" t="s">
        <v>40</v>
      </c>
      <c r="F47" s="1">
        <v>47000</v>
      </c>
      <c r="G47" s="1">
        <v>45000</v>
      </c>
    </row>
    <row r="48" spans="1:7" x14ac:dyDescent="0.3">
      <c r="A48" s="2">
        <v>45338</v>
      </c>
      <c r="B48" s="1" t="s">
        <v>101</v>
      </c>
      <c r="C48" s="1" t="s">
        <v>20</v>
      </c>
      <c r="D48" s="1" t="s">
        <v>13</v>
      </c>
      <c r="E48" s="1" t="s">
        <v>26</v>
      </c>
      <c r="F48" s="1">
        <v>36000</v>
      </c>
      <c r="G48" s="1">
        <v>35000</v>
      </c>
    </row>
    <row r="49" spans="1:7" x14ac:dyDescent="0.3">
      <c r="A49" s="2">
        <v>45339</v>
      </c>
      <c r="B49" s="1" t="s">
        <v>103</v>
      </c>
      <c r="C49" s="1" t="s">
        <v>16</v>
      </c>
      <c r="D49" s="1" t="s">
        <v>17</v>
      </c>
      <c r="E49" s="1" t="s">
        <v>18</v>
      </c>
      <c r="F49" s="1">
        <v>41000</v>
      </c>
      <c r="G49" s="1">
        <v>35000</v>
      </c>
    </row>
    <row r="50" spans="1:7" x14ac:dyDescent="0.3">
      <c r="A50" s="2">
        <v>45340</v>
      </c>
      <c r="B50" s="1" t="s">
        <v>105</v>
      </c>
      <c r="C50" s="1" t="s">
        <v>8</v>
      </c>
      <c r="D50" s="1" t="s">
        <v>9</v>
      </c>
      <c r="E50" s="1" t="s">
        <v>21</v>
      </c>
      <c r="F50" s="1">
        <v>53000</v>
      </c>
      <c r="G50" s="1">
        <v>50000</v>
      </c>
    </row>
    <row r="51" spans="1:7" x14ac:dyDescent="0.3">
      <c r="A51" s="2">
        <v>45341</v>
      </c>
      <c r="B51" s="1" t="s">
        <v>107</v>
      </c>
      <c r="C51" s="1" t="s">
        <v>12</v>
      </c>
      <c r="D51" s="1" t="s">
        <v>23</v>
      </c>
      <c r="E51" s="1" t="s">
        <v>51</v>
      </c>
      <c r="F51" s="1">
        <v>39000</v>
      </c>
      <c r="G51" s="1">
        <v>38000</v>
      </c>
    </row>
  </sheetData>
  <mergeCells count="1">
    <mergeCell ref="I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598F-5F9E-4D9A-9CDF-6744AFDFFF05}">
  <sheetPr>
    <tabColor rgb="FF7030A0"/>
  </sheetPr>
  <dimension ref="A1:M51"/>
  <sheetViews>
    <sheetView workbookViewId="0">
      <selection activeCell="K20" sqref="K20"/>
    </sheetView>
  </sheetViews>
  <sheetFormatPr defaultColWidth="13.21875" defaultRowHeight="14.4" x14ac:dyDescent="0.3"/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127</v>
      </c>
    </row>
    <row r="2" spans="1:13" x14ac:dyDescent="0.3">
      <c r="A2" s="2">
        <v>45292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55000</v>
      </c>
      <c r="G2" s="1">
        <v>50000</v>
      </c>
      <c r="H2" s="20">
        <f>IF(AND(F2&gt;50000,D2="Electronics"),5000,0)</f>
        <v>5000</v>
      </c>
    </row>
    <row r="3" spans="1:13" x14ac:dyDescent="0.3">
      <c r="A3" s="2">
        <v>45293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32000</v>
      </c>
      <c r="G3" s="1">
        <v>35000</v>
      </c>
      <c r="H3" s="20">
        <f t="shared" ref="H3:H51" si="0">IF(AND(F3&gt;50000,D3="Electronics"),5000,0)</f>
        <v>0</v>
      </c>
    </row>
    <row r="4" spans="1:13" x14ac:dyDescent="0.3">
      <c r="A4" s="2">
        <v>45294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28000</v>
      </c>
      <c r="G4" s="1">
        <v>30000</v>
      </c>
      <c r="H4" s="20">
        <f t="shared" si="0"/>
        <v>0</v>
      </c>
    </row>
    <row r="5" spans="1:13" x14ac:dyDescent="0.3">
      <c r="A5" s="2">
        <v>45295</v>
      </c>
      <c r="B5" s="1" t="s">
        <v>19</v>
      </c>
      <c r="C5" s="1" t="s">
        <v>20</v>
      </c>
      <c r="D5" s="1" t="s">
        <v>9</v>
      </c>
      <c r="E5" s="1" t="s">
        <v>21</v>
      </c>
      <c r="F5" s="1">
        <v>52000</v>
      </c>
      <c r="G5" s="1">
        <v>45000</v>
      </c>
      <c r="H5" s="20">
        <f t="shared" si="0"/>
        <v>5000</v>
      </c>
    </row>
    <row r="6" spans="1:13" x14ac:dyDescent="0.3">
      <c r="A6" s="2">
        <v>45296</v>
      </c>
      <c r="B6" s="1" t="s">
        <v>22</v>
      </c>
      <c r="C6" s="1" t="s">
        <v>8</v>
      </c>
      <c r="D6" s="1" t="s">
        <v>23</v>
      </c>
      <c r="E6" s="1" t="s">
        <v>24</v>
      </c>
      <c r="F6" s="1">
        <v>61000</v>
      </c>
      <c r="G6" s="1">
        <v>50000</v>
      </c>
      <c r="H6" s="20">
        <f t="shared" si="0"/>
        <v>0</v>
      </c>
    </row>
    <row r="7" spans="1:13" x14ac:dyDescent="0.3">
      <c r="A7" s="2">
        <v>45297</v>
      </c>
      <c r="B7" s="1" t="s">
        <v>25</v>
      </c>
      <c r="C7" s="1" t="s">
        <v>12</v>
      </c>
      <c r="D7" s="1" t="s">
        <v>13</v>
      </c>
      <c r="E7" s="1" t="s">
        <v>26</v>
      </c>
      <c r="F7" s="1">
        <v>39000</v>
      </c>
      <c r="G7" s="1">
        <v>35000</v>
      </c>
      <c r="H7" s="20">
        <f t="shared" si="0"/>
        <v>0</v>
      </c>
    </row>
    <row r="8" spans="1:13" x14ac:dyDescent="0.3">
      <c r="A8" s="2">
        <v>45298</v>
      </c>
      <c r="B8" s="1" t="s">
        <v>27</v>
      </c>
      <c r="C8" s="1" t="s">
        <v>20</v>
      </c>
      <c r="D8" s="1" t="s">
        <v>17</v>
      </c>
      <c r="E8" s="1" t="s">
        <v>28</v>
      </c>
      <c r="F8" s="1">
        <v>47000</v>
      </c>
      <c r="G8" s="1">
        <v>40000</v>
      </c>
      <c r="H8" s="20">
        <f t="shared" si="0"/>
        <v>0</v>
      </c>
    </row>
    <row r="9" spans="1:13" x14ac:dyDescent="0.3">
      <c r="A9" s="2">
        <v>45299</v>
      </c>
      <c r="B9" s="1" t="s">
        <v>29</v>
      </c>
      <c r="C9" s="1" t="s">
        <v>16</v>
      </c>
      <c r="D9" s="1" t="s">
        <v>9</v>
      </c>
      <c r="E9" s="1" t="s">
        <v>30</v>
      </c>
      <c r="F9" s="1">
        <v>55000</v>
      </c>
      <c r="G9" s="1">
        <v>50000</v>
      </c>
      <c r="H9" s="20">
        <f t="shared" si="0"/>
        <v>5000</v>
      </c>
    </row>
    <row r="10" spans="1:13" x14ac:dyDescent="0.3">
      <c r="A10" s="2">
        <v>45300</v>
      </c>
      <c r="B10" s="1" t="s">
        <v>31</v>
      </c>
      <c r="C10" s="1" t="s">
        <v>8</v>
      </c>
      <c r="D10" s="1" t="s">
        <v>23</v>
      </c>
      <c r="E10" s="1" t="s">
        <v>32</v>
      </c>
      <c r="F10" s="1">
        <v>26000</v>
      </c>
      <c r="G10" s="1">
        <v>30000</v>
      </c>
      <c r="H10" s="20">
        <f t="shared" si="0"/>
        <v>0</v>
      </c>
    </row>
    <row r="11" spans="1:13" x14ac:dyDescent="0.3">
      <c r="A11" s="2">
        <v>45301</v>
      </c>
      <c r="B11" s="1" t="s">
        <v>33</v>
      </c>
      <c r="C11" s="1" t="s">
        <v>20</v>
      </c>
      <c r="D11" s="1" t="s">
        <v>13</v>
      </c>
      <c r="E11" s="1" t="s">
        <v>34</v>
      </c>
      <c r="F11" s="1">
        <v>31000</v>
      </c>
      <c r="G11" s="1">
        <v>30000</v>
      </c>
      <c r="H11" s="20">
        <f t="shared" si="0"/>
        <v>0</v>
      </c>
      <c r="K11" s="9" t="s">
        <v>124</v>
      </c>
      <c r="L11" s="9"/>
      <c r="M11" s="9"/>
    </row>
    <row r="12" spans="1:13" x14ac:dyDescent="0.3">
      <c r="A12" s="2">
        <v>45302</v>
      </c>
      <c r="B12" s="1" t="s">
        <v>35</v>
      </c>
      <c r="C12" s="1" t="s">
        <v>12</v>
      </c>
      <c r="D12" s="1" t="s">
        <v>9</v>
      </c>
      <c r="E12" s="1" t="s">
        <v>10</v>
      </c>
      <c r="F12" s="1">
        <v>48000</v>
      </c>
      <c r="G12" s="1">
        <v>45000</v>
      </c>
      <c r="H12" s="20">
        <f t="shared" si="0"/>
        <v>0</v>
      </c>
      <c r="K12" s="23" t="s">
        <v>125</v>
      </c>
      <c r="L12" s="23"/>
      <c r="M12" s="23"/>
    </row>
    <row r="13" spans="1:13" x14ac:dyDescent="0.3">
      <c r="A13" s="2">
        <v>45303</v>
      </c>
      <c r="B13" s="1" t="s">
        <v>36</v>
      </c>
      <c r="C13" s="1" t="s">
        <v>16</v>
      </c>
      <c r="D13" s="1" t="s">
        <v>17</v>
      </c>
      <c r="E13" s="1" t="s">
        <v>37</v>
      </c>
      <c r="F13" s="1">
        <v>34000</v>
      </c>
      <c r="G13" s="1">
        <v>30000</v>
      </c>
      <c r="H13" s="20">
        <f t="shared" si="0"/>
        <v>0</v>
      </c>
      <c r="K13" s="23" t="s">
        <v>126</v>
      </c>
      <c r="L13" s="23"/>
      <c r="M13" s="23"/>
    </row>
    <row r="14" spans="1:13" x14ac:dyDescent="0.3">
      <c r="A14" s="2">
        <v>45304</v>
      </c>
      <c r="B14" s="1" t="s">
        <v>39</v>
      </c>
      <c r="C14" s="1" t="s">
        <v>20</v>
      </c>
      <c r="D14" s="1" t="s">
        <v>23</v>
      </c>
      <c r="E14" s="1" t="s">
        <v>40</v>
      </c>
      <c r="F14" s="1">
        <v>42000</v>
      </c>
      <c r="G14" s="1">
        <v>40000</v>
      </c>
      <c r="H14" s="20">
        <f t="shared" si="0"/>
        <v>0</v>
      </c>
    </row>
    <row r="15" spans="1:13" x14ac:dyDescent="0.3">
      <c r="A15" s="2">
        <v>45305</v>
      </c>
      <c r="B15" s="1" t="s">
        <v>42</v>
      </c>
      <c r="C15" s="1" t="s">
        <v>8</v>
      </c>
      <c r="D15" s="1" t="s">
        <v>9</v>
      </c>
      <c r="E15" s="1" t="s">
        <v>21</v>
      </c>
      <c r="F15" s="1">
        <v>70000</v>
      </c>
      <c r="G15" s="1">
        <v>60000</v>
      </c>
      <c r="H15" s="20">
        <f t="shared" si="0"/>
        <v>5000</v>
      </c>
    </row>
    <row r="16" spans="1:13" x14ac:dyDescent="0.3">
      <c r="A16" s="2">
        <v>45306</v>
      </c>
      <c r="B16" s="1" t="s">
        <v>44</v>
      </c>
      <c r="C16" s="1" t="s">
        <v>16</v>
      </c>
      <c r="D16" s="1" t="s">
        <v>13</v>
      </c>
      <c r="E16" s="1" t="s">
        <v>45</v>
      </c>
      <c r="F16" s="1">
        <v>29000</v>
      </c>
      <c r="G16" s="1">
        <v>30000</v>
      </c>
      <c r="H16" s="20">
        <f t="shared" si="0"/>
        <v>0</v>
      </c>
    </row>
    <row r="17" spans="1:8" x14ac:dyDescent="0.3">
      <c r="A17" s="2">
        <v>45307</v>
      </c>
      <c r="B17" s="1" t="s">
        <v>47</v>
      </c>
      <c r="C17" s="1" t="s">
        <v>12</v>
      </c>
      <c r="D17" s="1" t="s">
        <v>17</v>
      </c>
      <c r="E17" s="1" t="s">
        <v>48</v>
      </c>
      <c r="F17" s="1">
        <v>51000</v>
      </c>
      <c r="G17" s="1">
        <v>45000</v>
      </c>
      <c r="H17" s="20">
        <f t="shared" si="0"/>
        <v>0</v>
      </c>
    </row>
    <row r="18" spans="1:8" x14ac:dyDescent="0.3">
      <c r="A18" s="2">
        <v>45308</v>
      </c>
      <c r="B18" s="1" t="s">
        <v>50</v>
      </c>
      <c r="C18" s="1" t="s">
        <v>20</v>
      </c>
      <c r="D18" s="1" t="s">
        <v>23</v>
      </c>
      <c r="E18" s="1" t="s">
        <v>51</v>
      </c>
      <c r="F18" s="1">
        <v>36000</v>
      </c>
      <c r="G18" s="1">
        <v>35000</v>
      </c>
      <c r="H18" s="20">
        <f t="shared" si="0"/>
        <v>0</v>
      </c>
    </row>
    <row r="19" spans="1:8" x14ac:dyDescent="0.3">
      <c r="A19" s="2">
        <v>45309</v>
      </c>
      <c r="B19" s="1" t="s">
        <v>53</v>
      </c>
      <c r="C19" s="1" t="s">
        <v>8</v>
      </c>
      <c r="D19" s="1" t="s">
        <v>9</v>
      </c>
      <c r="E19" s="1" t="s">
        <v>30</v>
      </c>
      <c r="F19" s="1">
        <v>62000</v>
      </c>
      <c r="G19" s="1">
        <v>55000</v>
      </c>
      <c r="H19" s="20">
        <f t="shared" si="0"/>
        <v>5000</v>
      </c>
    </row>
    <row r="20" spans="1:8" x14ac:dyDescent="0.3">
      <c r="A20" s="2">
        <v>45310</v>
      </c>
      <c r="B20" s="1" t="s">
        <v>55</v>
      </c>
      <c r="C20" s="1" t="s">
        <v>16</v>
      </c>
      <c r="D20" s="1" t="s">
        <v>13</v>
      </c>
      <c r="E20" s="1" t="s">
        <v>56</v>
      </c>
      <c r="F20" s="1">
        <v>27000</v>
      </c>
      <c r="G20" s="1">
        <v>30000</v>
      </c>
      <c r="H20" s="20">
        <f t="shared" si="0"/>
        <v>0</v>
      </c>
    </row>
    <row r="21" spans="1:8" x14ac:dyDescent="0.3">
      <c r="A21" s="2">
        <v>45311</v>
      </c>
      <c r="B21" s="1" t="s">
        <v>58</v>
      </c>
      <c r="C21" s="1" t="s">
        <v>20</v>
      </c>
      <c r="D21" s="1" t="s">
        <v>17</v>
      </c>
      <c r="E21" s="1" t="s">
        <v>59</v>
      </c>
      <c r="F21" s="1">
        <v>33000</v>
      </c>
      <c r="G21" s="1">
        <v>30000</v>
      </c>
      <c r="H21" s="20">
        <f t="shared" si="0"/>
        <v>0</v>
      </c>
    </row>
    <row r="22" spans="1:8" x14ac:dyDescent="0.3">
      <c r="A22" s="2">
        <v>45312</v>
      </c>
      <c r="B22" s="1" t="s">
        <v>61</v>
      </c>
      <c r="C22" s="1" t="s">
        <v>12</v>
      </c>
      <c r="D22" s="1" t="s">
        <v>9</v>
      </c>
      <c r="E22" s="1" t="s">
        <v>10</v>
      </c>
      <c r="F22" s="1">
        <v>54000</v>
      </c>
      <c r="G22" s="1">
        <v>50000</v>
      </c>
      <c r="H22" s="20">
        <f t="shared" si="0"/>
        <v>5000</v>
      </c>
    </row>
    <row r="23" spans="1:8" x14ac:dyDescent="0.3">
      <c r="A23" s="2">
        <v>45313</v>
      </c>
      <c r="B23" s="1" t="s">
        <v>63</v>
      </c>
      <c r="C23" s="1" t="s">
        <v>8</v>
      </c>
      <c r="D23" s="1" t="s">
        <v>23</v>
      </c>
      <c r="E23" s="1" t="s">
        <v>24</v>
      </c>
      <c r="F23" s="1">
        <v>46000</v>
      </c>
      <c r="G23" s="1">
        <v>45000</v>
      </c>
      <c r="H23" s="20">
        <f t="shared" si="0"/>
        <v>0</v>
      </c>
    </row>
    <row r="24" spans="1:8" x14ac:dyDescent="0.3">
      <c r="A24" s="2">
        <v>45314</v>
      </c>
      <c r="B24" s="1" t="s">
        <v>65</v>
      </c>
      <c r="C24" s="1" t="s">
        <v>20</v>
      </c>
      <c r="D24" s="1" t="s">
        <v>13</v>
      </c>
      <c r="E24" s="1" t="s">
        <v>14</v>
      </c>
      <c r="F24" s="1">
        <v>30000</v>
      </c>
      <c r="G24" s="1">
        <v>30000</v>
      </c>
      <c r="H24" s="20">
        <f t="shared" si="0"/>
        <v>0</v>
      </c>
    </row>
    <row r="25" spans="1:8" x14ac:dyDescent="0.3">
      <c r="A25" s="2">
        <v>45315</v>
      </c>
      <c r="B25" s="1" t="s">
        <v>67</v>
      </c>
      <c r="C25" s="1" t="s">
        <v>16</v>
      </c>
      <c r="D25" s="1" t="s">
        <v>17</v>
      </c>
      <c r="E25" s="1" t="s">
        <v>28</v>
      </c>
      <c r="F25" s="1">
        <v>37000</v>
      </c>
      <c r="G25" s="1">
        <v>35000</v>
      </c>
      <c r="H25" s="20">
        <f t="shared" si="0"/>
        <v>0</v>
      </c>
    </row>
    <row r="26" spans="1:8" x14ac:dyDescent="0.3">
      <c r="A26" s="2">
        <v>45316</v>
      </c>
      <c r="B26" s="1" t="s">
        <v>69</v>
      </c>
      <c r="C26" s="1" t="s">
        <v>12</v>
      </c>
      <c r="D26" s="1" t="s">
        <v>9</v>
      </c>
      <c r="E26" s="1" t="s">
        <v>21</v>
      </c>
      <c r="F26" s="1">
        <v>58000</v>
      </c>
      <c r="G26" s="1">
        <v>55000</v>
      </c>
      <c r="H26" s="20">
        <f t="shared" si="0"/>
        <v>5000</v>
      </c>
    </row>
    <row r="27" spans="1:8" x14ac:dyDescent="0.3">
      <c r="A27" s="2">
        <v>45317</v>
      </c>
      <c r="B27" s="1" t="s">
        <v>71</v>
      </c>
      <c r="C27" s="1" t="s">
        <v>20</v>
      </c>
      <c r="D27" s="1" t="s">
        <v>23</v>
      </c>
      <c r="E27" s="1" t="s">
        <v>32</v>
      </c>
      <c r="F27" s="1">
        <v>41000</v>
      </c>
      <c r="G27" s="1">
        <v>40000</v>
      </c>
      <c r="H27" s="20">
        <f t="shared" si="0"/>
        <v>0</v>
      </c>
    </row>
    <row r="28" spans="1:8" x14ac:dyDescent="0.3">
      <c r="A28" s="2">
        <v>45318</v>
      </c>
      <c r="B28" s="1" t="s">
        <v>73</v>
      </c>
      <c r="C28" s="1" t="s">
        <v>8</v>
      </c>
      <c r="D28" s="1" t="s">
        <v>13</v>
      </c>
      <c r="E28" s="1" t="s">
        <v>34</v>
      </c>
      <c r="F28" s="1">
        <v>35000</v>
      </c>
      <c r="G28" s="1">
        <v>35000</v>
      </c>
      <c r="H28" s="20">
        <f t="shared" si="0"/>
        <v>0</v>
      </c>
    </row>
    <row r="29" spans="1:8" x14ac:dyDescent="0.3">
      <c r="A29" s="2">
        <v>45319</v>
      </c>
      <c r="B29" s="1" t="s">
        <v>75</v>
      </c>
      <c r="C29" s="1" t="s">
        <v>12</v>
      </c>
      <c r="D29" s="1" t="s">
        <v>17</v>
      </c>
      <c r="E29" s="1" t="s">
        <v>18</v>
      </c>
      <c r="F29" s="1">
        <v>26000</v>
      </c>
      <c r="G29" s="1">
        <v>30000</v>
      </c>
      <c r="H29" s="20">
        <f t="shared" si="0"/>
        <v>0</v>
      </c>
    </row>
    <row r="30" spans="1:8" x14ac:dyDescent="0.3">
      <c r="A30" s="2">
        <v>45320</v>
      </c>
      <c r="B30" s="1" t="s">
        <v>77</v>
      </c>
      <c r="C30" s="1" t="s">
        <v>16</v>
      </c>
      <c r="D30" s="1" t="s">
        <v>9</v>
      </c>
      <c r="E30" s="1" t="s">
        <v>30</v>
      </c>
      <c r="F30" s="1">
        <v>49000</v>
      </c>
      <c r="G30" s="1">
        <v>45000</v>
      </c>
      <c r="H30" s="20">
        <f t="shared" si="0"/>
        <v>0</v>
      </c>
    </row>
    <row r="31" spans="1:8" x14ac:dyDescent="0.3">
      <c r="A31" s="2">
        <v>45321</v>
      </c>
      <c r="B31" s="1" t="s">
        <v>79</v>
      </c>
      <c r="C31" s="1" t="s">
        <v>20</v>
      </c>
      <c r="D31" s="1" t="s">
        <v>23</v>
      </c>
      <c r="E31" s="1" t="s">
        <v>40</v>
      </c>
      <c r="F31" s="1">
        <v>44000</v>
      </c>
      <c r="G31" s="1">
        <v>40000</v>
      </c>
      <c r="H31" s="20">
        <f t="shared" si="0"/>
        <v>0</v>
      </c>
    </row>
    <row r="32" spans="1:8" x14ac:dyDescent="0.3">
      <c r="A32" s="2">
        <v>45322</v>
      </c>
      <c r="B32" s="1" t="s">
        <v>81</v>
      </c>
      <c r="C32" s="1" t="s">
        <v>8</v>
      </c>
      <c r="D32" s="1" t="s">
        <v>13</v>
      </c>
      <c r="E32" s="1" t="s">
        <v>26</v>
      </c>
      <c r="F32" s="1">
        <v>38000</v>
      </c>
      <c r="G32" s="1">
        <v>35000</v>
      </c>
      <c r="H32" s="20">
        <f t="shared" si="0"/>
        <v>0</v>
      </c>
    </row>
    <row r="33" spans="1:8" x14ac:dyDescent="0.3">
      <c r="A33" s="2">
        <v>45323</v>
      </c>
      <c r="B33" s="1" t="s">
        <v>82</v>
      </c>
      <c r="C33" s="1" t="s">
        <v>12</v>
      </c>
      <c r="D33" s="1" t="s">
        <v>17</v>
      </c>
      <c r="E33" s="1" t="s">
        <v>37</v>
      </c>
      <c r="F33" s="1">
        <v>52000</v>
      </c>
      <c r="G33" s="1">
        <v>45000</v>
      </c>
      <c r="H33" s="20">
        <f t="shared" si="0"/>
        <v>0</v>
      </c>
    </row>
    <row r="34" spans="1:8" x14ac:dyDescent="0.3">
      <c r="A34" s="2">
        <v>45324</v>
      </c>
      <c r="B34" s="1" t="s">
        <v>83</v>
      </c>
      <c r="C34" s="1" t="s">
        <v>20</v>
      </c>
      <c r="D34" s="1" t="s">
        <v>9</v>
      </c>
      <c r="E34" s="1" t="s">
        <v>10</v>
      </c>
      <c r="F34" s="1">
        <v>31000</v>
      </c>
      <c r="G34" s="1">
        <v>40000</v>
      </c>
      <c r="H34" s="20">
        <f t="shared" si="0"/>
        <v>0</v>
      </c>
    </row>
    <row r="35" spans="1:8" x14ac:dyDescent="0.3">
      <c r="A35" s="2">
        <v>45325</v>
      </c>
      <c r="B35" s="1" t="s">
        <v>84</v>
      </c>
      <c r="C35" s="1" t="s">
        <v>16</v>
      </c>
      <c r="D35" s="1" t="s">
        <v>23</v>
      </c>
      <c r="E35" s="1" t="s">
        <v>51</v>
      </c>
      <c r="F35" s="1">
        <v>57000</v>
      </c>
      <c r="G35" s="1">
        <v>50000</v>
      </c>
      <c r="H35" s="20">
        <f t="shared" si="0"/>
        <v>0</v>
      </c>
    </row>
    <row r="36" spans="1:8" x14ac:dyDescent="0.3">
      <c r="A36" s="2">
        <v>45326</v>
      </c>
      <c r="B36" s="1" t="s">
        <v>85</v>
      </c>
      <c r="C36" s="1" t="s">
        <v>12</v>
      </c>
      <c r="D36" s="1" t="s">
        <v>13</v>
      </c>
      <c r="E36" s="1" t="s">
        <v>45</v>
      </c>
      <c r="F36" s="1">
        <v>29500</v>
      </c>
      <c r="G36" s="1">
        <v>30000</v>
      </c>
      <c r="H36" s="20">
        <f t="shared" si="0"/>
        <v>0</v>
      </c>
    </row>
    <row r="37" spans="1:8" x14ac:dyDescent="0.3">
      <c r="A37" s="2">
        <v>45327</v>
      </c>
      <c r="B37" s="1" t="s">
        <v>86</v>
      </c>
      <c r="C37" s="1" t="s">
        <v>8</v>
      </c>
      <c r="D37" s="1" t="s">
        <v>17</v>
      </c>
      <c r="E37" s="1" t="s">
        <v>48</v>
      </c>
      <c r="F37" s="1">
        <v>46500</v>
      </c>
      <c r="G37" s="1">
        <v>45000</v>
      </c>
      <c r="H37" s="20">
        <f t="shared" si="0"/>
        <v>0</v>
      </c>
    </row>
    <row r="38" spans="1:8" x14ac:dyDescent="0.3">
      <c r="A38" s="2">
        <v>45328</v>
      </c>
      <c r="B38" s="1" t="s">
        <v>87</v>
      </c>
      <c r="C38" s="1" t="s">
        <v>20</v>
      </c>
      <c r="D38" s="1" t="s">
        <v>9</v>
      </c>
      <c r="E38" s="1" t="s">
        <v>21</v>
      </c>
      <c r="F38" s="1">
        <v>61000</v>
      </c>
      <c r="G38" s="1">
        <v>55000</v>
      </c>
      <c r="H38" s="20">
        <f t="shared" si="0"/>
        <v>5000</v>
      </c>
    </row>
    <row r="39" spans="1:8" x14ac:dyDescent="0.3">
      <c r="A39" s="2">
        <v>45329</v>
      </c>
      <c r="B39" s="1" t="s">
        <v>88</v>
      </c>
      <c r="C39" s="1" t="s">
        <v>12</v>
      </c>
      <c r="D39" s="1" t="s">
        <v>23</v>
      </c>
      <c r="E39" s="1" t="s">
        <v>24</v>
      </c>
      <c r="F39" s="1">
        <v>35500</v>
      </c>
      <c r="G39" s="1">
        <v>35000</v>
      </c>
      <c r="H39" s="20">
        <f t="shared" si="0"/>
        <v>0</v>
      </c>
    </row>
    <row r="40" spans="1:8" x14ac:dyDescent="0.3">
      <c r="A40" s="2">
        <v>45330</v>
      </c>
      <c r="B40" s="1" t="s">
        <v>89</v>
      </c>
      <c r="C40" s="1" t="s">
        <v>16</v>
      </c>
      <c r="D40" s="1" t="s">
        <v>13</v>
      </c>
      <c r="E40" s="1" t="s">
        <v>56</v>
      </c>
      <c r="F40" s="1">
        <v>27500</v>
      </c>
      <c r="G40" s="1">
        <v>30000</v>
      </c>
      <c r="H40" s="20">
        <f t="shared" si="0"/>
        <v>0</v>
      </c>
    </row>
    <row r="41" spans="1:8" x14ac:dyDescent="0.3">
      <c r="A41" s="2">
        <v>45331</v>
      </c>
      <c r="B41" s="1" t="s">
        <v>90</v>
      </c>
      <c r="C41" s="1" t="s">
        <v>20</v>
      </c>
      <c r="D41" s="1" t="s">
        <v>17</v>
      </c>
      <c r="E41" s="1" t="s">
        <v>59</v>
      </c>
      <c r="F41" s="1">
        <v>33500</v>
      </c>
      <c r="G41" s="1">
        <v>30000</v>
      </c>
      <c r="H41" s="20">
        <f t="shared" si="0"/>
        <v>0</v>
      </c>
    </row>
    <row r="42" spans="1:8" x14ac:dyDescent="0.3">
      <c r="A42" s="2">
        <v>45332</v>
      </c>
      <c r="B42" s="1" t="s">
        <v>91</v>
      </c>
      <c r="C42" s="1" t="s">
        <v>8</v>
      </c>
      <c r="D42" s="1" t="s">
        <v>9</v>
      </c>
      <c r="E42" s="1" t="s">
        <v>30</v>
      </c>
      <c r="F42" s="1">
        <v>68000</v>
      </c>
      <c r="G42" s="1">
        <v>60000</v>
      </c>
      <c r="H42" s="20">
        <f t="shared" si="0"/>
        <v>5000</v>
      </c>
    </row>
    <row r="43" spans="1:8" x14ac:dyDescent="0.3">
      <c r="A43" s="2">
        <v>45333</v>
      </c>
      <c r="B43" s="1" t="s">
        <v>92</v>
      </c>
      <c r="C43" s="1" t="s">
        <v>12</v>
      </c>
      <c r="D43" s="1" t="s">
        <v>23</v>
      </c>
      <c r="E43" s="1" t="s">
        <v>32</v>
      </c>
      <c r="F43" s="1">
        <v>43000</v>
      </c>
      <c r="G43" s="1">
        <v>40000</v>
      </c>
      <c r="H43" s="20">
        <f t="shared" si="0"/>
        <v>0</v>
      </c>
    </row>
    <row r="44" spans="1:8" x14ac:dyDescent="0.3">
      <c r="A44" s="2">
        <v>45334</v>
      </c>
      <c r="B44" s="1" t="s">
        <v>93</v>
      </c>
      <c r="C44" s="1" t="s">
        <v>20</v>
      </c>
      <c r="D44" s="1" t="s">
        <v>13</v>
      </c>
      <c r="E44" s="1" t="s">
        <v>14</v>
      </c>
      <c r="F44" s="1">
        <v>31500</v>
      </c>
      <c r="G44" s="1">
        <v>30000</v>
      </c>
      <c r="H44" s="20">
        <f t="shared" si="0"/>
        <v>0</v>
      </c>
    </row>
    <row r="45" spans="1:8" x14ac:dyDescent="0.3">
      <c r="A45" s="2">
        <v>45335</v>
      </c>
      <c r="B45" s="1" t="s">
        <v>95</v>
      </c>
      <c r="C45" s="1" t="s">
        <v>16</v>
      </c>
      <c r="D45" s="1" t="s">
        <v>17</v>
      </c>
      <c r="E45" s="1" t="s">
        <v>28</v>
      </c>
      <c r="F45" s="1">
        <v>25500</v>
      </c>
      <c r="G45" s="1">
        <v>30000</v>
      </c>
      <c r="H45" s="20">
        <f t="shared" si="0"/>
        <v>0</v>
      </c>
    </row>
    <row r="46" spans="1:8" x14ac:dyDescent="0.3">
      <c r="A46" s="2">
        <v>45336</v>
      </c>
      <c r="B46" s="1" t="s">
        <v>97</v>
      </c>
      <c r="C46" s="1" t="s">
        <v>12</v>
      </c>
      <c r="D46" s="1" t="s">
        <v>9</v>
      </c>
      <c r="E46" s="1" t="s">
        <v>10</v>
      </c>
      <c r="F46" s="1">
        <v>60000</v>
      </c>
      <c r="G46" s="1">
        <v>55000</v>
      </c>
      <c r="H46" s="20">
        <f t="shared" si="0"/>
        <v>5000</v>
      </c>
    </row>
    <row r="47" spans="1:8" x14ac:dyDescent="0.3">
      <c r="A47" s="2">
        <v>45337</v>
      </c>
      <c r="B47" s="1" t="s">
        <v>99</v>
      </c>
      <c r="C47" s="1" t="s">
        <v>8</v>
      </c>
      <c r="D47" s="1" t="s">
        <v>23</v>
      </c>
      <c r="E47" s="1" t="s">
        <v>40</v>
      </c>
      <c r="F47" s="1">
        <v>47000</v>
      </c>
      <c r="G47" s="1">
        <v>45000</v>
      </c>
      <c r="H47" s="20">
        <f t="shared" si="0"/>
        <v>0</v>
      </c>
    </row>
    <row r="48" spans="1:8" x14ac:dyDescent="0.3">
      <c r="A48" s="2">
        <v>45338</v>
      </c>
      <c r="B48" s="1" t="s">
        <v>101</v>
      </c>
      <c r="C48" s="1" t="s">
        <v>20</v>
      </c>
      <c r="D48" s="1" t="s">
        <v>13</v>
      </c>
      <c r="E48" s="1" t="s">
        <v>26</v>
      </c>
      <c r="F48" s="1">
        <v>36000</v>
      </c>
      <c r="G48" s="1">
        <v>35000</v>
      </c>
      <c r="H48" s="20">
        <f t="shared" si="0"/>
        <v>0</v>
      </c>
    </row>
    <row r="49" spans="1:8" x14ac:dyDescent="0.3">
      <c r="A49" s="2">
        <v>45339</v>
      </c>
      <c r="B49" s="1" t="s">
        <v>103</v>
      </c>
      <c r="C49" s="1" t="s">
        <v>16</v>
      </c>
      <c r="D49" s="1" t="s">
        <v>17</v>
      </c>
      <c r="E49" s="1" t="s">
        <v>18</v>
      </c>
      <c r="F49" s="1">
        <v>41000</v>
      </c>
      <c r="G49" s="1">
        <v>35000</v>
      </c>
      <c r="H49" s="20">
        <f t="shared" si="0"/>
        <v>0</v>
      </c>
    </row>
    <row r="50" spans="1:8" x14ac:dyDescent="0.3">
      <c r="A50" s="2">
        <v>45340</v>
      </c>
      <c r="B50" s="1" t="s">
        <v>105</v>
      </c>
      <c r="C50" s="1" t="s">
        <v>8</v>
      </c>
      <c r="D50" s="1" t="s">
        <v>9</v>
      </c>
      <c r="E50" s="1" t="s">
        <v>21</v>
      </c>
      <c r="F50" s="1">
        <v>53000</v>
      </c>
      <c r="G50" s="1">
        <v>50000</v>
      </c>
      <c r="H50" s="20">
        <f t="shared" si="0"/>
        <v>5000</v>
      </c>
    </row>
    <row r="51" spans="1:8" x14ac:dyDescent="0.3">
      <c r="A51" s="2">
        <v>45341</v>
      </c>
      <c r="B51" s="1" t="s">
        <v>107</v>
      </c>
      <c r="C51" s="1" t="s">
        <v>12</v>
      </c>
      <c r="D51" s="1" t="s">
        <v>23</v>
      </c>
      <c r="E51" s="1" t="s">
        <v>51</v>
      </c>
      <c r="F51" s="1">
        <v>39000</v>
      </c>
      <c r="G51" s="1">
        <v>38000</v>
      </c>
      <c r="H51" s="20">
        <f t="shared" si="0"/>
        <v>0</v>
      </c>
    </row>
  </sheetData>
  <mergeCells count="1">
    <mergeCell ref="K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</vt:lpstr>
      <vt:lpstr>solutions1</vt:lpstr>
      <vt:lpstr>solution2</vt:lpstr>
      <vt:lpstr>solution3</vt:lpstr>
      <vt:lpstr>solution4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Jaiswal</dc:creator>
  <cp:lastModifiedBy>Rahul Kumar Jaiswal</cp:lastModifiedBy>
  <dcterms:created xsi:type="dcterms:W3CDTF">2026-03-16T11:07:01Z</dcterms:created>
  <dcterms:modified xsi:type="dcterms:W3CDTF">2026-03-16T12:35:28Z</dcterms:modified>
</cp:coreProperties>
</file>