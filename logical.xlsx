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 Kumar Jaiswal\Desktop\Excel\"/>
    </mc:Choice>
  </mc:AlternateContent>
  <xr:revisionPtr revIDLastSave="0" documentId="13_ncr:1_{0E757389-C71C-45F8-B3A3-7B68A789FDC7}" xr6:coauthVersionLast="47" xr6:coauthVersionMax="47" xr10:uidLastSave="{00000000-0000-0000-0000-000000000000}"/>
  <bookViews>
    <workbookView xWindow="-108" yWindow="-108" windowWidth="23256" windowHeight="12456" activeTab="2" xr2:uid="{A4CE2464-02B8-42D7-BC5D-C6BA65CCF1C1}"/>
  </bookViews>
  <sheets>
    <sheet name="If" sheetId="1" r:id="rId1"/>
    <sheet name="IF+AND" sheetId="2" r:id="rId2"/>
    <sheet name="IF+O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3" l="1"/>
  <c r="M7" i="3"/>
  <c r="M8" i="3"/>
  <c r="M9" i="3"/>
  <c r="M10" i="3"/>
  <c r="M11" i="3"/>
  <c r="M5" i="3"/>
  <c r="D6" i="3"/>
  <c r="D7" i="3"/>
  <c r="D8" i="3"/>
  <c r="D9" i="3"/>
  <c r="D10" i="3"/>
  <c r="D11" i="3"/>
  <c r="D5" i="3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7" i="2"/>
  <c r="F8" i="2"/>
  <c r="F9" i="2"/>
  <c r="F10" i="2"/>
  <c r="F11" i="2"/>
  <c r="F12" i="2"/>
  <c r="F13" i="2"/>
  <c r="F14" i="2"/>
  <c r="F7" i="2"/>
  <c r="D18" i="1"/>
  <c r="D19" i="1"/>
  <c r="D20" i="1"/>
  <c r="D21" i="1"/>
  <c r="D22" i="1"/>
  <c r="D23" i="1"/>
  <c r="D24" i="1"/>
  <c r="D17" i="1"/>
  <c r="T9" i="1"/>
  <c r="T6" i="1"/>
  <c r="T7" i="1"/>
  <c r="T8" i="1"/>
  <c r="T10" i="1"/>
  <c r="T11" i="1"/>
  <c r="T12" i="1"/>
  <c r="T13" i="1"/>
  <c r="O7" i="1"/>
  <c r="O8" i="1"/>
  <c r="O9" i="1"/>
  <c r="O10" i="1"/>
  <c r="O11" i="1"/>
  <c r="O12" i="1"/>
  <c r="O13" i="1"/>
  <c r="O6" i="1"/>
  <c r="I7" i="1"/>
  <c r="I8" i="1"/>
  <c r="I9" i="1"/>
  <c r="I10" i="1"/>
  <c r="I11" i="1"/>
  <c r="I12" i="1"/>
  <c r="I13" i="1"/>
  <c r="I6" i="1"/>
  <c r="D7" i="1"/>
  <c r="D8" i="1"/>
  <c r="D9" i="1"/>
  <c r="D10" i="1"/>
  <c r="D11" i="1"/>
  <c r="D12" i="1"/>
  <c r="D13" i="1"/>
  <c r="D6" i="1"/>
</calcChain>
</file>

<file path=xl/sharedStrings.xml><?xml version="1.0" encoding="utf-8"?>
<sst xmlns="http://schemas.openxmlformats.org/spreadsheetml/2006/main" count="287" uniqueCount="124">
  <si>
    <t>Sr No</t>
  </si>
  <si>
    <t>Name</t>
  </si>
  <si>
    <t>Mark</t>
  </si>
  <si>
    <t>Status</t>
  </si>
  <si>
    <t>Rahul</t>
  </si>
  <si>
    <t>Raj</t>
  </si>
  <si>
    <t>Abhishek</t>
  </si>
  <si>
    <t>Raju</t>
  </si>
  <si>
    <t>Bittu</t>
  </si>
  <si>
    <t>Akash</t>
  </si>
  <si>
    <t>Vinay</t>
  </si>
  <si>
    <t>Aryan</t>
  </si>
  <si>
    <t>show the student status</t>
  </si>
  <si>
    <t>show the name of student which studet fail in exam</t>
  </si>
  <si>
    <t>Add grace mark</t>
  </si>
  <si>
    <t>add 5 grace mark when student mark below =40</t>
  </si>
  <si>
    <t>Emoji</t>
  </si>
  <si>
    <t xml:space="preserve">add emoji </t>
  </si>
  <si>
    <t>Full Name</t>
  </si>
  <si>
    <t>Gender</t>
  </si>
  <si>
    <t>Male</t>
  </si>
  <si>
    <t>Female</t>
  </si>
  <si>
    <t>Rani</t>
  </si>
  <si>
    <t>Rashi</t>
  </si>
  <si>
    <t>Anshika</t>
  </si>
  <si>
    <t>Archana</t>
  </si>
  <si>
    <t>Add Mr.&amp;Ms.</t>
  </si>
  <si>
    <t>LOGICAL (IF)</t>
  </si>
  <si>
    <t>LOGICAL (IF+And)</t>
  </si>
  <si>
    <t>if phy, che, math mark &gt;= 40 then show "pass" other wise "fail"</t>
  </si>
  <si>
    <t>Sr.No</t>
  </si>
  <si>
    <t>Phy</t>
  </si>
  <si>
    <t>Che</t>
  </si>
  <si>
    <t>Math</t>
  </si>
  <si>
    <t>Sonu</t>
  </si>
  <si>
    <t>Ravi</t>
  </si>
  <si>
    <t>Ankit</t>
  </si>
  <si>
    <t xml:space="preserve"> </t>
  </si>
  <si>
    <t>Dept</t>
  </si>
  <si>
    <t>Region</t>
  </si>
  <si>
    <t>Sales</t>
  </si>
  <si>
    <t>Amit</t>
  </si>
  <si>
    <t>Electronics</t>
  </si>
  <si>
    <t>North</t>
  </si>
  <si>
    <t>Grocery</t>
  </si>
  <si>
    <t>East</t>
  </si>
  <si>
    <t>Pooja</t>
  </si>
  <si>
    <t>Clothing</t>
  </si>
  <si>
    <t>West</t>
  </si>
  <si>
    <t>Neha</t>
  </si>
  <si>
    <t>South</t>
  </si>
  <si>
    <t>Rakesh</t>
  </si>
  <si>
    <t>Furniture</t>
  </si>
  <si>
    <t>Vikash</t>
  </si>
  <si>
    <t>Anjali</t>
  </si>
  <si>
    <t>Rohit</t>
  </si>
  <si>
    <t>Deepak</t>
  </si>
  <si>
    <t>Kiran</t>
  </si>
  <si>
    <t>Sunil</t>
  </si>
  <si>
    <t>Shweta</t>
  </si>
  <si>
    <t>Manoj</t>
  </si>
  <si>
    <t>Nisha</t>
  </si>
  <si>
    <t>Ajay</t>
  </si>
  <si>
    <t>Ritu</t>
  </si>
  <si>
    <t>Mohit</t>
  </si>
  <si>
    <t>Rajesh</t>
  </si>
  <si>
    <t>Pankaj</t>
  </si>
  <si>
    <t>Sonali</t>
  </si>
  <si>
    <t>Vivek</t>
  </si>
  <si>
    <t>Alok</t>
  </si>
  <si>
    <t>Kavita</t>
  </si>
  <si>
    <t>Rohan</t>
  </si>
  <si>
    <t>Meena</t>
  </si>
  <si>
    <t>Sandeep</t>
  </si>
  <si>
    <t>Payal</t>
  </si>
  <si>
    <t>Prakash</t>
  </si>
  <si>
    <t>Simran</t>
  </si>
  <si>
    <t>Tarun</t>
  </si>
  <si>
    <t>Muskan</t>
  </si>
  <si>
    <t>Harsh</t>
  </si>
  <si>
    <t>Satyam</t>
  </si>
  <si>
    <t>Sneha</t>
  </si>
  <si>
    <t>Gaurav</t>
  </si>
  <si>
    <t>Priti</t>
  </si>
  <si>
    <t>Dinesh</t>
  </si>
  <si>
    <t>Aarti</t>
  </si>
  <si>
    <t>Manish</t>
  </si>
  <si>
    <t>Jyoti</t>
  </si>
  <si>
    <t>Naveen</t>
  </si>
  <si>
    <t>Komal</t>
  </si>
  <si>
    <t>Suraj</t>
  </si>
  <si>
    <t>Bhavna</t>
  </si>
  <si>
    <t>Kapil</t>
  </si>
  <si>
    <t>Ashok</t>
  </si>
  <si>
    <t>Kunal</t>
  </si>
  <si>
    <t>Ramesh</t>
  </si>
  <si>
    <t>1️⃣ Sales &gt; 50000 AND Region North → Bonus 5000</t>
  </si>
  <si>
    <t>2️⃣ Dept Electronics AND Sales &gt; 60000 → Bonus 8000</t>
  </si>
  <si>
    <t>3️⃣ Sales &lt; 30000 → Bonus 0</t>
  </si>
  <si>
    <t>4️⃣ Otherwise Bonus = 5% of Sales</t>
  </si>
  <si>
    <t>North Bonus</t>
  </si>
  <si>
    <t>Electronics Bonous</t>
  </si>
  <si>
    <t>Sales&lt;30000=0</t>
  </si>
  <si>
    <t>ORDER NAME</t>
  </si>
  <si>
    <t>PROGRESS</t>
  </si>
  <si>
    <t>STATUS</t>
  </si>
  <si>
    <t>RAHUL</t>
  </si>
  <si>
    <t>RAVI</t>
  </si>
  <si>
    <t>VAIBHAV</t>
  </si>
  <si>
    <t>SONU</t>
  </si>
  <si>
    <t>RAJU</t>
  </si>
  <si>
    <t>ANKIT</t>
  </si>
  <si>
    <t>PANKAJ</t>
  </si>
  <si>
    <t>LOGICAL (IF+OR)</t>
  </si>
  <si>
    <t>SR NO</t>
  </si>
  <si>
    <t>DELIVERED</t>
  </si>
  <si>
    <t>CANCELLED</t>
  </si>
  <si>
    <t>IN PROGRESS</t>
  </si>
  <si>
    <t>DELIVER, CANCELLED =CLOSE</t>
  </si>
  <si>
    <t>IN PROGRESS = OPEN</t>
  </si>
  <si>
    <t>STUDENT NAME</t>
  </si>
  <si>
    <t>MARKS</t>
  </si>
  <si>
    <t>A</t>
  </si>
  <si>
    <t>STUDENT ABSENT OR &lt;40% THEN SHOW AGAIN STUDY OTHERWISE 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</si>
</sst>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0" borderId="0" xfId="0" applyFont="1" applyAlignment="1">
      <alignment vertical="top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0" xfId="0" applyFont="1" applyFill="1"/>
    <xf numFmtId="0" fontId="1" fillId="4" borderId="2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9" fontId="0" fillId="0" borderId="1" xfId="0" applyNumberFormat="1" applyBorder="1"/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DE1EE-F539-447A-B9E6-54B36DDDF8E3}">
  <dimension ref="A1:X24"/>
  <sheetViews>
    <sheetView zoomScale="99" zoomScaleNormal="99" workbookViewId="0">
      <selection sqref="A1:X2"/>
    </sheetView>
  </sheetViews>
  <sheetFormatPr defaultRowHeight="14.4" x14ac:dyDescent="0.3"/>
  <cols>
    <col min="4" max="4" width="11.21875" bestFit="1" customWidth="1"/>
    <col min="15" max="15" width="14.44140625" bestFit="1" customWidth="1"/>
  </cols>
  <sheetData>
    <row r="1" spans="1:24" s="3" customFormat="1" x14ac:dyDescent="0.3">
      <c r="A1" s="12" t="s">
        <v>27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s="3" customForma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4" s="2" customFormat="1" x14ac:dyDescent="0.3">
      <c r="A3" s="13" t="s">
        <v>12</v>
      </c>
      <c r="B3" s="13"/>
      <c r="C3" s="13"/>
      <c r="D3" s="13"/>
      <c r="F3" s="13" t="s">
        <v>13</v>
      </c>
      <c r="G3" s="13"/>
      <c r="H3" s="13"/>
      <c r="I3" s="13"/>
      <c r="J3" s="13"/>
      <c r="L3" s="13" t="s">
        <v>15</v>
      </c>
      <c r="M3" s="13"/>
      <c r="N3" s="13"/>
      <c r="O3" s="13"/>
      <c r="P3" s="13"/>
      <c r="R3" s="13" t="s">
        <v>17</v>
      </c>
      <c r="S3" s="13"/>
    </row>
    <row r="4" spans="1:24" s="2" customFormat="1" x14ac:dyDescent="0.3">
      <c r="F4" s="6"/>
      <c r="G4" s="6"/>
      <c r="H4" s="6"/>
      <c r="I4" s="6"/>
      <c r="J4" s="6"/>
    </row>
    <row r="5" spans="1:24" x14ac:dyDescent="0.3">
      <c r="A5" s="4" t="s">
        <v>0</v>
      </c>
      <c r="B5" s="4" t="s">
        <v>1</v>
      </c>
      <c r="C5" s="4" t="s">
        <v>2</v>
      </c>
      <c r="D5" s="4" t="s">
        <v>3</v>
      </c>
      <c r="F5" s="4" t="s">
        <v>0</v>
      </c>
      <c r="G5" s="4" t="s">
        <v>1</v>
      </c>
      <c r="H5" s="4" t="s">
        <v>2</v>
      </c>
      <c r="I5" s="4" t="s">
        <v>3</v>
      </c>
      <c r="L5" s="4" t="s">
        <v>0</v>
      </c>
      <c r="M5" s="4" t="s">
        <v>1</v>
      </c>
      <c r="N5" s="4" t="s">
        <v>2</v>
      </c>
      <c r="O5" s="4" t="s">
        <v>14</v>
      </c>
      <c r="Q5" s="4" t="s">
        <v>0</v>
      </c>
      <c r="R5" s="4" t="s">
        <v>1</v>
      </c>
      <c r="S5" s="4" t="s">
        <v>2</v>
      </c>
      <c r="T5" s="4" t="s">
        <v>16</v>
      </c>
    </row>
    <row r="6" spans="1:24" x14ac:dyDescent="0.3">
      <c r="A6" s="5">
        <v>1</v>
      </c>
      <c r="B6" s="5" t="s">
        <v>4</v>
      </c>
      <c r="C6" s="5">
        <v>90</v>
      </c>
      <c r="D6" s="5" t="str">
        <f>IF(C6&gt;=40,"Pass","Fail")</f>
        <v>Pass</v>
      </c>
      <c r="F6" s="5">
        <v>1</v>
      </c>
      <c r="G6" s="5" t="s">
        <v>4</v>
      </c>
      <c r="H6" s="5">
        <v>90</v>
      </c>
      <c r="I6" s="1" t="str">
        <f>IF(H6&lt;=40,G6,"")</f>
        <v/>
      </c>
      <c r="L6" s="5">
        <v>1</v>
      </c>
      <c r="M6" s="5" t="s">
        <v>4</v>
      </c>
      <c r="N6" s="5">
        <v>90</v>
      </c>
      <c r="O6" s="5">
        <f>IF(N6&lt;=40,N6+5,N6)</f>
        <v>90</v>
      </c>
      <c r="Q6" s="5">
        <v>1</v>
      </c>
      <c r="R6" s="5" t="s">
        <v>4</v>
      </c>
      <c r="S6" s="5">
        <v>90</v>
      </c>
      <c r="T6" s="1" t="str">
        <f>IF(S6&gt;40,"✔️","✖️")</f>
        <v>✔️</v>
      </c>
    </row>
    <row r="7" spans="1:24" x14ac:dyDescent="0.3">
      <c r="A7" s="5">
        <v>2</v>
      </c>
      <c r="B7" s="5" t="s">
        <v>5</v>
      </c>
      <c r="C7" s="5">
        <v>33</v>
      </c>
      <c r="D7" s="5" t="str">
        <f t="shared" ref="D7:D13" si="0">IF(C7&gt;=40,"Pass","Fail")</f>
        <v>Fail</v>
      </c>
      <c r="F7" s="5">
        <v>2</v>
      </c>
      <c r="G7" s="5" t="s">
        <v>5</v>
      </c>
      <c r="H7" s="5">
        <v>33</v>
      </c>
      <c r="I7" s="1" t="str">
        <f t="shared" ref="I7:I13" si="1">IF(H7&lt;=40,G7,"")</f>
        <v>Raj</v>
      </c>
      <c r="L7" s="5">
        <v>2</v>
      </c>
      <c r="M7" s="5" t="s">
        <v>5</v>
      </c>
      <c r="N7" s="5">
        <v>33</v>
      </c>
      <c r="O7" s="5">
        <f t="shared" ref="O7:O13" si="2">IF(N7&lt;=40,N7+5,N7)</f>
        <v>38</v>
      </c>
      <c r="Q7" s="5">
        <v>2</v>
      </c>
      <c r="R7" s="5" t="s">
        <v>5</v>
      </c>
      <c r="S7" s="5">
        <v>33</v>
      </c>
      <c r="T7" s="1" t="str">
        <f t="shared" ref="T7:T13" si="3">IF(S7&gt;40,"✔️","✖️")</f>
        <v>✖️</v>
      </c>
    </row>
    <row r="8" spans="1:24" x14ac:dyDescent="0.3">
      <c r="A8" s="5">
        <v>3</v>
      </c>
      <c r="B8" s="5" t="s">
        <v>6</v>
      </c>
      <c r="C8" s="5">
        <v>39</v>
      </c>
      <c r="D8" s="5" t="str">
        <f t="shared" si="0"/>
        <v>Fail</v>
      </c>
      <c r="F8" s="5">
        <v>3</v>
      </c>
      <c r="G8" s="5" t="s">
        <v>6</v>
      </c>
      <c r="H8" s="5">
        <v>39</v>
      </c>
      <c r="I8" s="1" t="str">
        <f t="shared" si="1"/>
        <v>Abhishek</v>
      </c>
      <c r="L8" s="5">
        <v>3</v>
      </c>
      <c r="M8" s="5" t="s">
        <v>6</v>
      </c>
      <c r="N8" s="5">
        <v>39</v>
      </c>
      <c r="O8" s="5">
        <f t="shared" si="2"/>
        <v>44</v>
      </c>
      <c r="Q8" s="5">
        <v>3</v>
      </c>
      <c r="R8" s="5" t="s">
        <v>6</v>
      </c>
      <c r="S8" s="5">
        <v>39</v>
      </c>
      <c r="T8" s="1" t="str">
        <f t="shared" si="3"/>
        <v>✖️</v>
      </c>
    </row>
    <row r="9" spans="1:24" x14ac:dyDescent="0.3">
      <c r="A9" s="5">
        <v>4</v>
      </c>
      <c r="B9" s="5" t="s">
        <v>7</v>
      </c>
      <c r="C9" s="5">
        <v>87</v>
      </c>
      <c r="D9" s="5" t="str">
        <f t="shared" si="0"/>
        <v>Pass</v>
      </c>
      <c r="F9" s="5">
        <v>4</v>
      </c>
      <c r="G9" s="5" t="s">
        <v>7</v>
      </c>
      <c r="H9" s="5">
        <v>87</v>
      </c>
      <c r="I9" s="1" t="str">
        <f t="shared" si="1"/>
        <v/>
      </c>
      <c r="L9" s="5">
        <v>4</v>
      </c>
      <c r="M9" s="5" t="s">
        <v>7</v>
      </c>
      <c r="N9" s="5">
        <v>87</v>
      </c>
      <c r="O9" s="5">
        <f t="shared" si="2"/>
        <v>87</v>
      </c>
      <c r="Q9" s="5">
        <v>4</v>
      </c>
      <c r="R9" s="5" t="s">
        <v>7</v>
      </c>
      <c r="S9" s="5">
        <v>87</v>
      </c>
      <c r="T9" s="1" t="str">
        <f>IF(S9&gt;40,"✔️","✖️")</f>
        <v>✔️</v>
      </c>
    </row>
    <row r="10" spans="1:24" x14ac:dyDescent="0.3">
      <c r="A10" s="5">
        <v>5</v>
      </c>
      <c r="B10" s="5" t="s">
        <v>8</v>
      </c>
      <c r="C10" s="5">
        <v>45</v>
      </c>
      <c r="D10" s="5" t="str">
        <f t="shared" si="0"/>
        <v>Pass</v>
      </c>
      <c r="F10" s="5">
        <v>5</v>
      </c>
      <c r="G10" s="5" t="s">
        <v>8</v>
      </c>
      <c r="H10" s="5">
        <v>45</v>
      </c>
      <c r="I10" s="1" t="str">
        <f t="shared" si="1"/>
        <v/>
      </c>
      <c r="L10" s="5">
        <v>5</v>
      </c>
      <c r="M10" s="5" t="s">
        <v>8</v>
      </c>
      <c r="N10" s="5">
        <v>45</v>
      </c>
      <c r="O10" s="5">
        <f t="shared" si="2"/>
        <v>45</v>
      </c>
      <c r="Q10" s="5">
        <v>5</v>
      </c>
      <c r="R10" s="5" t="s">
        <v>8</v>
      </c>
      <c r="S10" s="5">
        <v>45</v>
      </c>
      <c r="T10" s="1" t="str">
        <f t="shared" si="3"/>
        <v>✔️</v>
      </c>
    </row>
    <row r="11" spans="1:24" x14ac:dyDescent="0.3">
      <c r="A11" s="5">
        <v>6</v>
      </c>
      <c r="B11" s="5" t="s">
        <v>9</v>
      </c>
      <c r="C11" s="5">
        <v>52</v>
      </c>
      <c r="D11" s="5" t="str">
        <f t="shared" si="0"/>
        <v>Pass</v>
      </c>
      <c r="F11" s="5">
        <v>6</v>
      </c>
      <c r="G11" s="5" t="s">
        <v>9</v>
      </c>
      <c r="H11" s="5">
        <v>52</v>
      </c>
      <c r="I11" s="1" t="str">
        <f t="shared" si="1"/>
        <v/>
      </c>
      <c r="L11" s="5">
        <v>6</v>
      </c>
      <c r="M11" s="5" t="s">
        <v>9</v>
      </c>
      <c r="N11" s="5">
        <v>52</v>
      </c>
      <c r="O11" s="5">
        <f t="shared" si="2"/>
        <v>52</v>
      </c>
      <c r="Q11" s="5">
        <v>6</v>
      </c>
      <c r="R11" s="5" t="s">
        <v>9</v>
      </c>
      <c r="S11" s="5">
        <v>52</v>
      </c>
      <c r="T11" s="1" t="str">
        <f t="shared" si="3"/>
        <v>✔️</v>
      </c>
    </row>
    <row r="12" spans="1:24" x14ac:dyDescent="0.3">
      <c r="A12" s="5">
        <v>7</v>
      </c>
      <c r="B12" s="5" t="s">
        <v>10</v>
      </c>
      <c r="C12" s="5">
        <v>13</v>
      </c>
      <c r="D12" s="5" t="str">
        <f t="shared" si="0"/>
        <v>Fail</v>
      </c>
      <c r="F12" s="5">
        <v>7</v>
      </c>
      <c r="G12" s="5" t="s">
        <v>10</v>
      </c>
      <c r="H12" s="5">
        <v>13</v>
      </c>
      <c r="I12" s="1" t="str">
        <f t="shared" si="1"/>
        <v>Vinay</v>
      </c>
      <c r="L12" s="5">
        <v>7</v>
      </c>
      <c r="M12" s="5" t="s">
        <v>10</v>
      </c>
      <c r="N12" s="5">
        <v>13</v>
      </c>
      <c r="O12" s="5">
        <f t="shared" si="2"/>
        <v>18</v>
      </c>
      <c r="Q12" s="5">
        <v>7</v>
      </c>
      <c r="R12" s="5" t="s">
        <v>10</v>
      </c>
      <c r="S12" s="5">
        <v>13</v>
      </c>
      <c r="T12" s="1" t="str">
        <f t="shared" si="3"/>
        <v>✖️</v>
      </c>
    </row>
    <row r="13" spans="1:24" x14ac:dyDescent="0.3">
      <c r="A13" s="5">
        <v>8</v>
      </c>
      <c r="B13" s="5" t="s">
        <v>11</v>
      </c>
      <c r="C13" s="5">
        <v>73</v>
      </c>
      <c r="D13" s="5" t="str">
        <f t="shared" si="0"/>
        <v>Pass</v>
      </c>
      <c r="F13" s="5">
        <v>8</v>
      </c>
      <c r="G13" s="5" t="s">
        <v>11</v>
      </c>
      <c r="H13" s="5">
        <v>73</v>
      </c>
      <c r="I13" s="1" t="str">
        <f t="shared" si="1"/>
        <v/>
      </c>
      <c r="L13" s="5">
        <v>8</v>
      </c>
      <c r="M13" s="5" t="s">
        <v>11</v>
      </c>
      <c r="N13" s="5">
        <v>73</v>
      </c>
      <c r="O13" s="5">
        <f t="shared" si="2"/>
        <v>73</v>
      </c>
      <c r="Q13" s="5">
        <v>8</v>
      </c>
      <c r="R13" s="5" t="s">
        <v>11</v>
      </c>
      <c r="S13" s="5">
        <v>73</v>
      </c>
      <c r="T13" s="1" t="str">
        <f t="shared" si="3"/>
        <v>✔️</v>
      </c>
    </row>
    <row r="15" spans="1:24" x14ac:dyDescent="0.3">
      <c r="B15" s="11" t="s">
        <v>26</v>
      </c>
      <c r="C15" s="11"/>
      <c r="D15" s="11"/>
    </row>
    <row r="16" spans="1:24" x14ac:dyDescent="0.3">
      <c r="A16" s="4" t="s">
        <v>0</v>
      </c>
      <c r="B16" s="4" t="s">
        <v>1</v>
      </c>
      <c r="C16" s="4" t="s">
        <v>19</v>
      </c>
      <c r="D16" s="4" t="s">
        <v>18</v>
      </c>
    </row>
    <row r="17" spans="1:4" x14ac:dyDescent="0.3">
      <c r="A17" s="5">
        <v>1</v>
      </c>
      <c r="B17" s="5" t="s">
        <v>4</v>
      </c>
      <c r="C17" s="1" t="s">
        <v>20</v>
      </c>
      <c r="D17" s="1" t="str">
        <f>IF(C17="Male","Mr." &amp;B17,"Ms."&amp;B17)</f>
        <v>Mr.Rahul</v>
      </c>
    </row>
    <row r="18" spans="1:4" x14ac:dyDescent="0.3">
      <c r="A18" s="5">
        <v>2</v>
      </c>
      <c r="B18" s="5" t="s">
        <v>22</v>
      </c>
      <c r="C18" s="1" t="s">
        <v>21</v>
      </c>
      <c r="D18" s="1" t="str">
        <f t="shared" ref="D18:D24" si="4">IF(C18="Male","Mr." &amp;B18,"Ms."&amp;B18)</f>
        <v>Ms.Rani</v>
      </c>
    </row>
    <row r="19" spans="1:4" x14ac:dyDescent="0.3">
      <c r="A19" s="5">
        <v>3</v>
      </c>
      <c r="B19" s="5" t="s">
        <v>6</v>
      </c>
      <c r="C19" s="1" t="s">
        <v>20</v>
      </c>
      <c r="D19" s="1" t="str">
        <f t="shared" si="4"/>
        <v>Mr.Abhishek</v>
      </c>
    </row>
    <row r="20" spans="1:4" x14ac:dyDescent="0.3">
      <c r="A20" s="5">
        <v>4</v>
      </c>
      <c r="B20" s="5" t="s">
        <v>23</v>
      </c>
      <c r="C20" s="1" t="s">
        <v>21</v>
      </c>
      <c r="D20" s="1" t="str">
        <f t="shared" si="4"/>
        <v>Ms.Rashi</v>
      </c>
    </row>
    <row r="21" spans="1:4" x14ac:dyDescent="0.3">
      <c r="A21" s="5">
        <v>5</v>
      </c>
      <c r="B21" s="5" t="s">
        <v>8</v>
      </c>
      <c r="C21" s="1" t="s">
        <v>20</v>
      </c>
      <c r="D21" s="1" t="str">
        <f t="shared" si="4"/>
        <v>Mr.Bittu</v>
      </c>
    </row>
    <row r="22" spans="1:4" x14ac:dyDescent="0.3">
      <c r="A22" s="5">
        <v>6</v>
      </c>
      <c r="B22" s="5" t="s">
        <v>24</v>
      </c>
      <c r="C22" s="1" t="s">
        <v>21</v>
      </c>
      <c r="D22" s="1" t="str">
        <f t="shared" si="4"/>
        <v>Ms.Anshika</v>
      </c>
    </row>
    <row r="23" spans="1:4" x14ac:dyDescent="0.3">
      <c r="A23" s="5">
        <v>7</v>
      </c>
      <c r="B23" s="5" t="s">
        <v>10</v>
      </c>
      <c r="C23" s="1" t="s">
        <v>20</v>
      </c>
      <c r="D23" s="1" t="str">
        <f t="shared" si="4"/>
        <v>Mr.Vinay</v>
      </c>
    </row>
    <row r="24" spans="1:4" x14ac:dyDescent="0.3">
      <c r="A24" s="5">
        <v>8</v>
      </c>
      <c r="B24" s="5" t="s">
        <v>25</v>
      </c>
      <c r="C24" s="1" t="s">
        <v>21</v>
      </c>
      <c r="D24" s="1" t="str">
        <f t="shared" si="4"/>
        <v>Ms.Archana</v>
      </c>
    </row>
  </sheetData>
  <mergeCells count="6">
    <mergeCell ref="B15:D15"/>
    <mergeCell ref="A1:X2"/>
    <mergeCell ref="A3:D3"/>
    <mergeCell ref="F3:J3"/>
    <mergeCell ref="L3:P3"/>
    <mergeCell ref="R3: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B7042-A2B2-462A-836E-4DE7C62EE9A1}">
  <dimension ref="A1:X56"/>
  <sheetViews>
    <sheetView zoomScale="90" workbookViewId="0">
      <selection sqref="A1:X2"/>
    </sheetView>
  </sheetViews>
  <sheetFormatPr defaultColWidth="11.109375" defaultRowHeight="22.8" customHeight="1" x14ac:dyDescent="0.3"/>
  <sheetData>
    <row r="1" spans="1:24" ht="22.8" customHeight="1" x14ac:dyDescent="0.3">
      <c r="A1" s="12" t="s">
        <v>28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ht="22.8" customHeigh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4" spans="1:24" ht="22.8" customHeight="1" x14ac:dyDescent="0.3">
      <c r="A4" s="13" t="s">
        <v>29</v>
      </c>
      <c r="B4" s="13"/>
      <c r="C4" s="13"/>
      <c r="D4" s="13"/>
      <c r="E4" s="13"/>
      <c r="F4" s="13"/>
    </row>
    <row r="6" spans="1:24" ht="22.8" customHeight="1" x14ac:dyDescent="0.3">
      <c r="A6" s="7" t="s">
        <v>30</v>
      </c>
      <c r="B6" s="7" t="s">
        <v>1</v>
      </c>
      <c r="C6" s="7" t="s">
        <v>31</v>
      </c>
      <c r="D6" s="7" t="s">
        <v>32</v>
      </c>
      <c r="E6" s="7" t="s">
        <v>33</v>
      </c>
      <c r="F6" s="7" t="s">
        <v>3</v>
      </c>
      <c r="H6" s="9" t="s">
        <v>1</v>
      </c>
      <c r="I6" s="9" t="s">
        <v>38</v>
      </c>
      <c r="J6" s="9" t="s">
        <v>39</v>
      </c>
      <c r="K6" s="9" t="s">
        <v>40</v>
      </c>
      <c r="L6" s="9" t="s">
        <v>100</v>
      </c>
      <c r="M6" s="9" t="s">
        <v>101</v>
      </c>
      <c r="N6" s="9" t="s">
        <v>102</v>
      </c>
    </row>
    <row r="7" spans="1:24" ht="22.8" customHeight="1" x14ac:dyDescent="0.3">
      <c r="A7" s="1">
        <v>1</v>
      </c>
      <c r="B7" s="1" t="s">
        <v>4</v>
      </c>
      <c r="C7" s="1">
        <v>50</v>
      </c>
      <c r="D7" s="1">
        <v>60</v>
      </c>
      <c r="E7" s="1">
        <v>75</v>
      </c>
      <c r="F7" s="1" t="str">
        <f>IF(AND(C7&gt;=40,D7&gt;=40,E7&gt;=40),"pass","fail")</f>
        <v>pass</v>
      </c>
      <c r="H7" s="8" t="s">
        <v>41</v>
      </c>
      <c r="I7" s="8" t="s">
        <v>42</v>
      </c>
      <c r="J7" s="8" t="s">
        <v>43</v>
      </c>
      <c r="K7" s="8">
        <v>45000</v>
      </c>
      <c r="L7" s="8">
        <f>IF(AND(K7&gt;50000,J7="North"),5000,0)</f>
        <v>0</v>
      </c>
      <c r="M7" s="1">
        <f>IF(AND(I7="Electronics",K7&gt;60000),8000,0)</f>
        <v>0</v>
      </c>
      <c r="N7" s="1">
        <f>IF(K7&lt;30000,K7*5%,K7)</f>
        <v>45000</v>
      </c>
      <c r="O7" s="13" t="s">
        <v>96</v>
      </c>
      <c r="P7" s="13"/>
      <c r="Q7" s="13"/>
      <c r="R7" s="13"/>
    </row>
    <row r="8" spans="1:24" ht="22.8" customHeight="1" x14ac:dyDescent="0.3">
      <c r="A8" s="1">
        <v>2</v>
      </c>
      <c r="B8" s="1" t="s">
        <v>34</v>
      </c>
      <c r="C8" s="1">
        <v>45</v>
      </c>
      <c r="D8" s="1">
        <v>46</v>
      </c>
      <c r="E8" s="1">
        <v>47</v>
      </c>
      <c r="F8" s="1" t="str">
        <f t="shared" ref="F8:F14" si="0">IF(AND(C8&gt;=40,D8&gt;=40,E8&gt;=40),"pass","fail")</f>
        <v>pass</v>
      </c>
      <c r="H8" s="8" t="s">
        <v>4</v>
      </c>
      <c r="I8" s="8" t="s">
        <v>44</v>
      </c>
      <c r="J8" s="8" t="s">
        <v>45</v>
      </c>
      <c r="K8" s="8">
        <v>32000</v>
      </c>
      <c r="L8" s="8">
        <f t="shared" ref="L8:L56" si="1">IF(AND(K8&gt;50000,J8="North"),5000,0)</f>
        <v>0</v>
      </c>
      <c r="M8" s="1">
        <f t="shared" ref="M8:M56" si="2">IF(AND(I8="Electronics",K8&gt;60000),8000,0)</f>
        <v>0</v>
      </c>
      <c r="N8" s="1">
        <f t="shared" ref="N8:N56" si="3">IF(K8&lt;30000,K8*5%,K8)</f>
        <v>32000</v>
      </c>
      <c r="O8" s="13" t="s">
        <v>97</v>
      </c>
      <c r="P8" s="13"/>
      <c r="Q8" s="13"/>
      <c r="R8" s="13"/>
    </row>
    <row r="9" spans="1:24" ht="22.8" customHeight="1" x14ac:dyDescent="0.3">
      <c r="A9" s="1">
        <v>3</v>
      </c>
      <c r="B9" s="1" t="s">
        <v>35</v>
      </c>
      <c r="C9" s="1">
        <v>40</v>
      </c>
      <c r="D9" s="1">
        <v>41</v>
      </c>
      <c r="E9" s="1">
        <v>42</v>
      </c>
      <c r="F9" s="1" t="str">
        <f t="shared" si="0"/>
        <v>pass</v>
      </c>
      <c r="H9" s="8" t="s">
        <v>46</v>
      </c>
      <c r="I9" s="8" t="s">
        <v>47</v>
      </c>
      <c r="J9" s="8" t="s">
        <v>48</v>
      </c>
      <c r="K9" s="8">
        <v>28000</v>
      </c>
      <c r="L9" s="8">
        <f t="shared" si="1"/>
        <v>0</v>
      </c>
      <c r="M9" s="1">
        <f t="shared" si="2"/>
        <v>0</v>
      </c>
      <c r="N9" s="1">
        <f t="shared" si="3"/>
        <v>1400</v>
      </c>
      <c r="O9" s="13" t="s">
        <v>98</v>
      </c>
      <c r="P9" s="13"/>
      <c r="Q9" s="13"/>
      <c r="R9" s="10"/>
    </row>
    <row r="10" spans="1:24" ht="22.8" customHeight="1" x14ac:dyDescent="0.3">
      <c r="A10" s="1">
        <v>4</v>
      </c>
      <c r="B10" s="1" t="s">
        <v>8</v>
      </c>
      <c r="C10" s="1">
        <v>67</v>
      </c>
      <c r="D10" s="1">
        <v>68</v>
      </c>
      <c r="E10" s="1">
        <v>69</v>
      </c>
      <c r="F10" s="1" t="str">
        <f t="shared" si="0"/>
        <v>pass</v>
      </c>
      <c r="H10" s="8" t="s">
        <v>49</v>
      </c>
      <c r="I10" s="8" t="s">
        <v>42</v>
      </c>
      <c r="J10" s="8" t="s">
        <v>50</v>
      </c>
      <c r="K10" s="8">
        <v>52000</v>
      </c>
      <c r="L10" s="8">
        <f t="shared" si="1"/>
        <v>0</v>
      </c>
      <c r="M10" s="1">
        <f t="shared" si="2"/>
        <v>0</v>
      </c>
      <c r="N10" s="1">
        <f t="shared" si="3"/>
        <v>52000</v>
      </c>
      <c r="O10" s="13" t="s">
        <v>99</v>
      </c>
      <c r="P10" s="13"/>
      <c r="Q10" s="13"/>
      <c r="R10" s="10"/>
    </row>
    <row r="11" spans="1:24" ht="22.8" customHeight="1" x14ac:dyDescent="0.3">
      <c r="A11" s="1">
        <v>5</v>
      </c>
      <c r="B11" s="1" t="s">
        <v>9</v>
      </c>
      <c r="C11" s="1">
        <v>56</v>
      </c>
      <c r="D11" s="1">
        <v>57</v>
      </c>
      <c r="E11" s="1">
        <v>58</v>
      </c>
      <c r="F11" s="1" t="str">
        <f t="shared" si="0"/>
        <v>pass</v>
      </c>
      <c r="H11" s="8" t="s">
        <v>51</v>
      </c>
      <c r="I11" s="8" t="s">
        <v>52</v>
      </c>
      <c r="J11" s="8" t="s">
        <v>43</v>
      </c>
      <c r="K11" s="8">
        <v>61000</v>
      </c>
      <c r="L11" s="8">
        <f t="shared" si="1"/>
        <v>5000</v>
      </c>
      <c r="M11" s="1">
        <f t="shared" si="2"/>
        <v>0</v>
      </c>
      <c r="N11" s="1">
        <f t="shared" si="3"/>
        <v>61000</v>
      </c>
    </row>
    <row r="12" spans="1:24" ht="22.8" customHeight="1" x14ac:dyDescent="0.3">
      <c r="A12" s="1">
        <v>6</v>
      </c>
      <c r="B12" s="1" t="s">
        <v>36</v>
      </c>
      <c r="C12" s="1">
        <v>25</v>
      </c>
      <c r="D12" s="1">
        <v>24</v>
      </c>
      <c r="E12" s="1">
        <v>19</v>
      </c>
      <c r="F12" s="1" t="str">
        <f t="shared" si="0"/>
        <v>fail</v>
      </c>
      <c r="H12" s="8" t="s">
        <v>53</v>
      </c>
      <c r="I12" s="8" t="s">
        <v>44</v>
      </c>
      <c r="J12" s="8" t="s">
        <v>45</v>
      </c>
      <c r="K12" s="8">
        <v>39000</v>
      </c>
      <c r="L12" s="8">
        <f t="shared" si="1"/>
        <v>0</v>
      </c>
      <c r="M12" s="1">
        <f t="shared" si="2"/>
        <v>0</v>
      </c>
      <c r="N12" s="1">
        <f t="shared" si="3"/>
        <v>39000</v>
      </c>
    </row>
    <row r="13" spans="1:24" ht="22.8" customHeight="1" x14ac:dyDescent="0.3">
      <c r="A13" s="1">
        <v>7</v>
      </c>
      <c r="B13" s="1" t="s">
        <v>6</v>
      </c>
      <c r="C13" s="1">
        <v>74</v>
      </c>
      <c r="D13" s="1">
        <v>85</v>
      </c>
      <c r="E13" s="1">
        <v>56</v>
      </c>
      <c r="F13" s="1" t="str">
        <f t="shared" si="0"/>
        <v>pass</v>
      </c>
      <c r="H13" s="8" t="s">
        <v>54</v>
      </c>
      <c r="I13" s="8" t="s">
        <v>47</v>
      </c>
      <c r="J13" s="8" t="s">
        <v>50</v>
      </c>
      <c r="K13" s="8">
        <v>47000</v>
      </c>
      <c r="L13" s="8">
        <f t="shared" si="1"/>
        <v>0</v>
      </c>
      <c r="M13" s="1">
        <f t="shared" si="2"/>
        <v>0</v>
      </c>
      <c r="N13" s="1">
        <f t="shared" si="3"/>
        <v>47000</v>
      </c>
    </row>
    <row r="14" spans="1:24" ht="22.8" customHeight="1" x14ac:dyDescent="0.3">
      <c r="A14" s="1">
        <v>8</v>
      </c>
      <c r="B14" s="1" t="s">
        <v>5</v>
      </c>
      <c r="C14" s="1">
        <v>15</v>
      </c>
      <c r="D14" s="1">
        <v>57</v>
      </c>
      <c r="E14" s="1">
        <v>98</v>
      </c>
      <c r="F14" s="1" t="str">
        <f t="shared" si="0"/>
        <v>fail</v>
      </c>
      <c r="H14" s="8" t="s">
        <v>55</v>
      </c>
      <c r="I14" s="8" t="s">
        <v>42</v>
      </c>
      <c r="J14" s="8" t="s">
        <v>48</v>
      </c>
      <c r="K14" s="8">
        <v>55000</v>
      </c>
      <c r="L14" s="8">
        <f t="shared" si="1"/>
        <v>0</v>
      </c>
      <c r="M14" s="1">
        <f t="shared" si="2"/>
        <v>0</v>
      </c>
      <c r="N14" s="1">
        <f t="shared" si="3"/>
        <v>55000</v>
      </c>
    </row>
    <row r="15" spans="1:24" ht="22.8" customHeight="1" x14ac:dyDescent="0.3">
      <c r="H15" s="8" t="s">
        <v>56</v>
      </c>
      <c r="I15" s="8" t="s">
        <v>52</v>
      </c>
      <c r="J15" s="8" t="s">
        <v>43</v>
      </c>
      <c r="K15" s="8">
        <v>26000</v>
      </c>
      <c r="L15" s="8">
        <f t="shared" si="1"/>
        <v>0</v>
      </c>
      <c r="M15" s="1">
        <f t="shared" si="2"/>
        <v>0</v>
      </c>
      <c r="N15" s="1">
        <f t="shared" si="3"/>
        <v>1300</v>
      </c>
    </row>
    <row r="16" spans="1:24" ht="22.8" customHeight="1" x14ac:dyDescent="0.3">
      <c r="H16" s="8" t="s">
        <v>57</v>
      </c>
      <c r="I16" s="8" t="s">
        <v>44</v>
      </c>
      <c r="J16" s="8" t="s">
        <v>50</v>
      </c>
      <c r="K16" s="8">
        <v>31000</v>
      </c>
      <c r="L16" s="8">
        <f t="shared" si="1"/>
        <v>0</v>
      </c>
      <c r="M16" s="1">
        <f t="shared" si="2"/>
        <v>0</v>
      </c>
      <c r="N16" s="1">
        <f t="shared" si="3"/>
        <v>31000</v>
      </c>
    </row>
    <row r="17" spans="5:14" ht="22.8" customHeight="1" x14ac:dyDescent="0.3">
      <c r="E17" t="s">
        <v>37</v>
      </c>
      <c r="H17" s="8" t="s">
        <v>58</v>
      </c>
      <c r="I17" s="8" t="s">
        <v>42</v>
      </c>
      <c r="J17" s="8" t="s">
        <v>45</v>
      </c>
      <c r="K17" s="8">
        <v>48000</v>
      </c>
      <c r="L17" s="8">
        <f t="shared" si="1"/>
        <v>0</v>
      </c>
      <c r="M17" s="1">
        <f t="shared" si="2"/>
        <v>0</v>
      </c>
      <c r="N17" s="1">
        <f t="shared" si="3"/>
        <v>48000</v>
      </c>
    </row>
    <row r="18" spans="5:14" ht="22.8" customHeight="1" x14ac:dyDescent="0.3">
      <c r="H18" s="8" t="s">
        <v>59</v>
      </c>
      <c r="I18" s="8" t="s">
        <v>47</v>
      </c>
      <c r="J18" s="8" t="s">
        <v>48</v>
      </c>
      <c r="K18" s="8">
        <v>34000</v>
      </c>
      <c r="L18" s="8">
        <f t="shared" si="1"/>
        <v>0</v>
      </c>
      <c r="M18" s="1">
        <f t="shared" si="2"/>
        <v>0</v>
      </c>
      <c r="N18" s="1">
        <f t="shared" si="3"/>
        <v>34000</v>
      </c>
    </row>
    <row r="19" spans="5:14" ht="22.8" customHeight="1" x14ac:dyDescent="0.3">
      <c r="H19" s="8" t="s">
        <v>60</v>
      </c>
      <c r="I19" s="8" t="s">
        <v>52</v>
      </c>
      <c r="J19" s="8" t="s">
        <v>50</v>
      </c>
      <c r="K19" s="8">
        <v>42000</v>
      </c>
      <c r="L19" s="8">
        <f t="shared" si="1"/>
        <v>0</v>
      </c>
      <c r="M19" s="1">
        <f t="shared" si="2"/>
        <v>0</v>
      </c>
      <c r="N19" s="1">
        <f t="shared" si="3"/>
        <v>42000</v>
      </c>
    </row>
    <row r="20" spans="5:14" ht="22.8" customHeight="1" x14ac:dyDescent="0.3">
      <c r="H20" s="8" t="s">
        <v>6</v>
      </c>
      <c r="I20" s="8" t="s">
        <v>42</v>
      </c>
      <c r="J20" s="8" t="s">
        <v>43</v>
      </c>
      <c r="K20" s="8">
        <v>70000</v>
      </c>
      <c r="L20" s="8">
        <f t="shared" si="1"/>
        <v>5000</v>
      </c>
      <c r="M20" s="1">
        <f t="shared" si="2"/>
        <v>8000</v>
      </c>
      <c r="N20" s="1">
        <f t="shared" si="3"/>
        <v>70000</v>
      </c>
    </row>
    <row r="21" spans="5:14" ht="22.8" customHeight="1" x14ac:dyDescent="0.3">
      <c r="H21" s="8" t="s">
        <v>61</v>
      </c>
      <c r="I21" s="8" t="s">
        <v>44</v>
      </c>
      <c r="J21" s="8" t="s">
        <v>48</v>
      </c>
      <c r="K21" s="8">
        <v>29000</v>
      </c>
      <c r="L21" s="8">
        <f t="shared" si="1"/>
        <v>0</v>
      </c>
      <c r="M21" s="1">
        <f t="shared" si="2"/>
        <v>0</v>
      </c>
      <c r="N21" s="1">
        <f t="shared" si="3"/>
        <v>1450</v>
      </c>
    </row>
    <row r="22" spans="5:14" ht="22.8" customHeight="1" x14ac:dyDescent="0.3">
      <c r="H22" s="8" t="s">
        <v>62</v>
      </c>
      <c r="I22" s="8" t="s">
        <v>47</v>
      </c>
      <c r="J22" s="8" t="s">
        <v>45</v>
      </c>
      <c r="K22" s="8">
        <v>51000</v>
      </c>
      <c r="L22" s="8">
        <f t="shared" si="1"/>
        <v>0</v>
      </c>
      <c r="M22" s="1">
        <f t="shared" si="2"/>
        <v>0</v>
      </c>
      <c r="N22" s="1">
        <f t="shared" si="3"/>
        <v>51000</v>
      </c>
    </row>
    <row r="23" spans="5:14" ht="22.8" customHeight="1" x14ac:dyDescent="0.3">
      <c r="H23" s="8" t="s">
        <v>63</v>
      </c>
      <c r="I23" s="8" t="s">
        <v>52</v>
      </c>
      <c r="J23" s="8" t="s">
        <v>50</v>
      </c>
      <c r="K23" s="8">
        <v>36000</v>
      </c>
      <c r="L23" s="8">
        <f t="shared" si="1"/>
        <v>0</v>
      </c>
      <c r="M23" s="1">
        <f t="shared" si="2"/>
        <v>0</v>
      </c>
      <c r="N23" s="1">
        <f t="shared" si="3"/>
        <v>36000</v>
      </c>
    </row>
    <row r="24" spans="5:14" ht="22.8" customHeight="1" x14ac:dyDescent="0.3">
      <c r="H24" s="8" t="s">
        <v>64</v>
      </c>
      <c r="I24" s="8" t="s">
        <v>42</v>
      </c>
      <c r="J24" s="8" t="s">
        <v>43</v>
      </c>
      <c r="K24" s="8">
        <v>62000</v>
      </c>
      <c r="L24" s="8">
        <f t="shared" si="1"/>
        <v>5000</v>
      </c>
      <c r="M24" s="1">
        <f t="shared" si="2"/>
        <v>8000</v>
      </c>
      <c r="N24" s="1">
        <f t="shared" si="3"/>
        <v>62000</v>
      </c>
    </row>
    <row r="25" spans="5:14" ht="22.8" customHeight="1" x14ac:dyDescent="0.3">
      <c r="H25" s="8" t="s">
        <v>65</v>
      </c>
      <c r="I25" s="8" t="s">
        <v>44</v>
      </c>
      <c r="J25" s="8" t="s">
        <v>48</v>
      </c>
      <c r="K25" s="8">
        <v>27000</v>
      </c>
      <c r="L25" s="8">
        <f t="shared" si="1"/>
        <v>0</v>
      </c>
      <c r="M25" s="1">
        <f t="shared" si="2"/>
        <v>0</v>
      </c>
      <c r="N25" s="1">
        <f t="shared" si="3"/>
        <v>1350</v>
      </c>
    </row>
    <row r="26" spans="5:14" ht="22.8" customHeight="1" x14ac:dyDescent="0.3">
      <c r="H26" s="8" t="s">
        <v>66</v>
      </c>
      <c r="I26" s="8" t="s">
        <v>47</v>
      </c>
      <c r="J26" s="8" t="s">
        <v>50</v>
      </c>
      <c r="K26" s="8">
        <v>33000</v>
      </c>
      <c r="L26" s="8">
        <f t="shared" si="1"/>
        <v>0</v>
      </c>
      <c r="M26" s="1">
        <f t="shared" si="2"/>
        <v>0</v>
      </c>
      <c r="N26" s="1">
        <f t="shared" si="3"/>
        <v>33000</v>
      </c>
    </row>
    <row r="27" spans="5:14" ht="22.8" customHeight="1" x14ac:dyDescent="0.3">
      <c r="H27" s="8" t="s">
        <v>67</v>
      </c>
      <c r="I27" s="8" t="s">
        <v>42</v>
      </c>
      <c r="J27" s="8" t="s">
        <v>45</v>
      </c>
      <c r="K27" s="8">
        <v>54000</v>
      </c>
      <c r="L27" s="8">
        <f t="shared" si="1"/>
        <v>0</v>
      </c>
      <c r="M27" s="1">
        <f t="shared" si="2"/>
        <v>0</v>
      </c>
      <c r="N27" s="1">
        <f t="shared" si="3"/>
        <v>54000</v>
      </c>
    </row>
    <row r="28" spans="5:14" ht="22.8" customHeight="1" x14ac:dyDescent="0.3">
      <c r="H28" s="8" t="s">
        <v>68</v>
      </c>
      <c r="I28" s="8" t="s">
        <v>52</v>
      </c>
      <c r="J28" s="8" t="s">
        <v>43</v>
      </c>
      <c r="K28" s="8">
        <v>46000</v>
      </c>
      <c r="L28" s="8">
        <f t="shared" si="1"/>
        <v>0</v>
      </c>
      <c r="M28" s="1">
        <f t="shared" si="2"/>
        <v>0</v>
      </c>
      <c r="N28" s="1">
        <f t="shared" si="3"/>
        <v>46000</v>
      </c>
    </row>
    <row r="29" spans="5:14" ht="22.8" customHeight="1" x14ac:dyDescent="0.3">
      <c r="H29" s="8" t="s">
        <v>69</v>
      </c>
      <c r="I29" s="8" t="s">
        <v>44</v>
      </c>
      <c r="J29" s="8" t="s">
        <v>50</v>
      </c>
      <c r="K29" s="8">
        <v>30000</v>
      </c>
      <c r="L29" s="8">
        <f t="shared" si="1"/>
        <v>0</v>
      </c>
      <c r="M29" s="1">
        <f t="shared" si="2"/>
        <v>0</v>
      </c>
      <c r="N29" s="1">
        <f t="shared" si="3"/>
        <v>30000</v>
      </c>
    </row>
    <row r="30" spans="5:14" ht="22.8" customHeight="1" x14ac:dyDescent="0.3">
      <c r="H30" s="8" t="s">
        <v>70</v>
      </c>
      <c r="I30" s="8" t="s">
        <v>47</v>
      </c>
      <c r="J30" s="8" t="s">
        <v>48</v>
      </c>
      <c r="K30" s="8">
        <v>37000</v>
      </c>
      <c r="L30" s="8">
        <f t="shared" si="1"/>
        <v>0</v>
      </c>
      <c r="M30" s="1">
        <f t="shared" si="2"/>
        <v>0</v>
      </c>
      <c r="N30" s="1">
        <f t="shared" si="3"/>
        <v>37000</v>
      </c>
    </row>
    <row r="31" spans="5:14" ht="22.8" customHeight="1" x14ac:dyDescent="0.3">
      <c r="H31" s="8" t="s">
        <v>71</v>
      </c>
      <c r="I31" s="8" t="s">
        <v>42</v>
      </c>
      <c r="J31" s="8" t="s">
        <v>45</v>
      </c>
      <c r="K31" s="8">
        <v>58000</v>
      </c>
      <c r="L31" s="8">
        <f t="shared" si="1"/>
        <v>0</v>
      </c>
      <c r="M31" s="1">
        <f t="shared" si="2"/>
        <v>0</v>
      </c>
      <c r="N31" s="1">
        <f t="shared" si="3"/>
        <v>58000</v>
      </c>
    </row>
    <row r="32" spans="5:14" ht="22.8" customHeight="1" x14ac:dyDescent="0.3">
      <c r="H32" s="8" t="s">
        <v>72</v>
      </c>
      <c r="I32" s="8" t="s">
        <v>52</v>
      </c>
      <c r="J32" s="8" t="s">
        <v>50</v>
      </c>
      <c r="K32" s="8">
        <v>41000</v>
      </c>
      <c r="L32" s="8">
        <f t="shared" si="1"/>
        <v>0</v>
      </c>
      <c r="M32" s="1">
        <f t="shared" si="2"/>
        <v>0</v>
      </c>
      <c r="N32" s="1">
        <f t="shared" si="3"/>
        <v>41000</v>
      </c>
    </row>
    <row r="33" spans="8:14" ht="22.8" customHeight="1" x14ac:dyDescent="0.3">
      <c r="H33" s="8" t="s">
        <v>73</v>
      </c>
      <c r="I33" s="8" t="s">
        <v>44</v>
      </c>
      <c r="J33" s="8" t="s">
        <v>43</v>
      </c>
      <c r="K33" s="8">
        <v>35000</v>
      </c>
      <c r="L33" s="8">
        <f t="shared" si="1"/>
        <v>0</v>
      </c>
      <c r="M33" s="1">
        <f t="shared" si="2"/>
        <v>0</v>
      </c>
      <c r="N33" s="1">
        <f t="shared" si="3"/>
        <v>35000</v>
      </c>
    </row>
    <row r="34" spans="8:14" ht="22.8" customHeight="1" x14ac:dyDescent="0.3">
      <c r="H34" s="8" t="s">
        <v>74</v>
      </c>
      <c r="I34" s="8" t="s">
        <v>47</v>
      </c>
      <c r="J34" s="8" t="s">
        <v>45</v>
      </c>
      <c r="K34" s="8">
        <v>26000</v>
      </c>
      <c r="L34" s="8">
        <f t="shared" si="1"/>
        <v>0</v>
      </c>
      <c r="M34" s="1">
        <f t="shared" si="2"/>
        <v>0</v>
      </c>
      <c r="N34" s="1">
        <f t="shared" si="3"/>
        <v>1300</v>
      </c>
    </row>
    <row r="35" spans="8:14" ht="22.8" customHeight="1" x14ac:dyDescent="0.3">
      <c r="H35" s="8" t="s">
        <v>75</v>
      </c>
      <c r="I35" s="8" t="s">
        <v>42</v>
      </c>
      <c r="J35" s="8" t="s">
        <v>48</v>
      </c>
      <c r="K35" s="8">
        <v>49000</v>
      </c>
      <c r="L35" s="8">
        <f t="shared" si="1"/>
        <v>0</v>
      </c>
      <c r="M35" s="1">
        <f t="shared" si="2"/>
        <v>0</v>
      </c>
      <c r="N35" s="1">
        <f t="shared" si="3"/>
        <v>49000</v>
      </c>
    </row>
    <row r="36" spans="8:14" ht="22.8" customHeight="1" x14ac:dyDescent="0.3">
      <c r="H36" s="8" t="s">
        <v>9</v>
      </c>
      <c r="I36" s="8" t="s">
        <v>52</v>
      </c>
      <c r="J36" s="8" t="s">
        <v>50</v>
      </c>
      <c r="K36" s="8">
        <v>44000</v>
      </c>
      <c r="L36" s="8">
        <f t="shared" si="1"/>
        <v>0</v>
      </c>
      <c r="M36" s="1">
        <f t="shared" si="2"/>
        <v>0</v>
      </c>
      <c r="N36" s="1">
        <f t="shared" si="3"/>
        <v>44000</v>
      </c>
    </row>
    <row r="37" spans="8:14" ht="22.8" customHeight="1" x14ac:dyDescent="0.3">
      <c r="H37" s="8" t="s">
        <v>76</v>
      </c>
      <c r="I37" s="8" t="s">
        <v>44</v>
      </c>
      <c r="J37" s="8" t="s">
        <v>43</v>
      </c>
      <c r="K37" s="8">
        <v>38000</v>
      </c>
      <c r="L37" s="8">
        <f t="shared" si="1"/>
        <v>0</v>
      </c>
      <c r="M37" s="1">
        <f t="shared" si="2"/>
        <v>0</v>
      </c>
      <c r="N37" s="1">
        <f t="shared" si="3"/>
        <v>38000</v>
      </c>
    </row>
    <row r="38" spans="8:14" ht="22.8" customHeight="1" x14ac:dyDescent="0.3">
      <c r="H38" s="8" t="s">
        <v>77</v>
      </c>
      <c r="I38" s="8" t="s">
        <v>47</v>
      </c>
      <c r="J38" s="8" t="s">
        <v>45</v>
      </c>
      <c r="K38" s="8">
        <v>52000</v>
      </c>
      <c r="L38" s="8">
        <f t="shared" si="1"/>
        <v>0</v>
      </c>
      <c r="M38" s="1">
        <f t="shared" si="2"/>
        <v>0</v>
      </c>
      <c r="N38" s="1">
        <f t="shared" si="3"/>
        <v>52000</v>
      </c>
    </row>
    <row r="39" spans="8:14" ht="22.8" customHeight="1" x14ac:dyDescent="0.3">
      <c r="H39" s="8" t="s">
        <v>78</v>
      </c>
      <c r="I39" s="8" t="s">
        <v>42</v>
      </c>
      <c r="J39" s="8" t="s">
        <v>50</v>
      </c>
      <c r="K39" s="8">
        <v>31000</v>
      </c>
      <c r="L39" s="8">
        <f t="shared" si="1"/>
        <v>0</v>
      </c>
      <c r="M39" s="1">
        <f t="shared" si="2"/>
        <v>0</v>
      </c>
      <c r="N39" s="1">
        <f t="shared" si="3"/>
        <v>31000</v>
      </c>
    </row>
    <row r="40" spans="8:14" ht="22.8" customHeight="1" x14ac:dyDescent="0.3">
      <c r="H40" s="8" t="s">
        <v>79</v>
      </c>
      <c r="I40" s="8" t="s">
        <v>52</v>
      </c>
      <c r="J40" s="8" t="s">
        <v>48</v>
      </c>
      <c r="K40" s="8">
        <v>57000</v>
      </c>
      <c r="L40" s="8">
        <f t="shared" si="1"/>
        <v>0</v>
      </c>
      <c r="M40" s="1">
        <f t="shared" si="2"/>
        <v>0</v>
      </c>
      <c r="N40" s="1">
        <f t="shared" si="3"/>
        <v>57000</v>
      </c>
    </row>
    <row r="41" spans="8:14" ht="22.8" customHeight="1" x14ac:dyDescent="0.3">
      <c r="H41" s="8" t="s">
        <v>80</v>
      </c>
      <c r="I41" s="8" t="s">
        <v>44</v>
      </c>
      <c r="J41" s="8" t="s">
        <v>45</v>
      </c>
      <c r="K41" s="8">
        <v>29500</v>
      </c>
      <c r="L41" s="8">
        <f t="shared" si="1"/>
        <v>0</v>
      </c>
      <c r="M41" s="1">
        <f t="shared" si="2"/>
        <v>0</v>
      </c>
      <c r="N41" s="1">
        <f t="shared" si="3"/>
        <v>1475</v>
      </c>
    </row>
    <row r="42" spans="8:14" ht="22.8" customHeight="1" x14ac:dyDescent="0.3">
      <c r="H42" s="8" t="s">
        <v>81</v>
      </c>
      <c r="I42" s="8" t="s">
        <v>47</v>
      </c>
      <c r="J42" s="8" t="s">
        <v>43</v>
      </c>
      <c r="K42" s="8">
        <v>46500</v>
      </c>
      <c r="L42" s="8">
        <f t="shared" si="1"/>
        <v>0</v>
      </c>
      <c r="M42" s="1">
        <f t="shared" si="2"/>
        <v>0</v>
      </c>
      <c r="N42" s="1">
        <f t="shared" si="3"/>
        <v>46500</v>
      </c>
    </row>
    <row r="43" spans="8:14" ht="22.8" customHeight="1" x14ac:dyDescent="0.3">
      <c r="H43" s="8" t="s">
        <v>82</v>
      </c>
      <c r="I43" s="8" t="s">
        <v>42</v>
      </c>
      <c r="J43" s="8" t="s">
        <v>50</v>
      </c>
      <c r="K43" s="8">
        <v>61000</v>
      </c>
      <c r="L43" s="8">
        <f t="shared" si="1"/>
        <v>0</v>
      </c>
      <c r="M43" s="1">
        <f t="shared" si="2"/>
        <v>8000</v>
      </c>
      <c r="N43" s="1">
        <f t="shared" si="3"/>
        <v>61000</v>
      </c>
    </row>
    <row r="44" spans="8:14" ht="22.8" customHeight="1" x14ac:dyDescent="0.3">
      <c r="H44" s="8" t="s">
        <v>83</v>
      </c>
      <c r="I44" s="8" t="s">
        <v>52</v>
      </c>
      <c r="J44" s="8" t="s">
        <v>45</v>
      </c>
      <c r="K44" s="8">
        <v>35500</v>
      </c>
      <c r="L44" s="8">
        <f t="shared" si="1"/>
        <v>0</v>
      </c>
      <c r="M44" s="1">
        <f t="shared" si="2"/>
        <v>0</v>
      </c>
      <c r="N44" s="1">
        <f t="shared" si="3"/>
        <v>35500</v>
      </c>
    </row>
    <row r="45" spans="8:14" ht="22.8" customHeight="1" x14ac:dyDescent="0.3">
      <c r="H45" s="8" t="s">
        <v>84</v>
      </c>
      <c r="I45" s="8" t="s">
        <v>44</v>
      </c>
      <c r="J45" s="8" t="s">
        <v>48</v>
      </c>
      <c r="K45" s="8">
        <v>27500</v>
      </c>
      <c r="L45" s="8">
        <f t="shared" si="1"/>
        <v>0</v>
      </c>
      <c r="M45" s="1">
        <f t="shared" si="2"/>
        <v>0</v>
      </c>
      <c r="N45" s="1">
        <f t="shared" si="3"/>
        <v>1375</v>
      </c>
    </row>
    <row r="46" spans="8:14" ht="22.8" customHeight="1" x14ac:dyDescent="0.3">
      <c r="H46" s="8" t="s">
        <v>85</v>
      </c>
      <c r="I46" s="8" t="s">
        <v>47</v>
      </c>
      <c r="J46" s="8" t="s">
        <v>50</v>
      </c>
      <c r="K46" s="8">
        <v>33500</v>
      </c>
      <c r="L46" s="8">
        <f t="shared" si="1"/>
        <v>0</v>
      </c>
      <c r="M46" s="1">
        <f t="shared" si="2"/>
        <v>0</v>
      </c>
      <c r="N46" s="1">
        <f t="shared" si="3"/>
        <v>33500</v>
      </c>
    </row>
    <row r="47" spans="8:14" ht="22.8" customHeight="1" x14ac:dyDescent="0.3">
      <c r="H47" s="8" t="s">
        <v>86</v>
      </c>
      <c r="I47" s="8" t="s">
        <v>42</v>
      </c>
      <c r="J47" s="8" t="s">
        <v>43</v>
      </c>
      <c r="K47" s="8">
        <v>68000</v>
      </c>
      <c r="L47" s="8">
        <f t="shared" si="1"/>
        <v>5000</v>
      </c>
      <c r="M47" s="1">
        <f t="shared" si="2"/>
        <v>8000</v>
      </c>
      <c r="N47" s="1">
        <f t="shared" si="3"/>
        <v>68000</v>
      </c>
    </row>
    <row r="48" spans="8:14" ht="22.8" customHeight="1" x14ac:dyDescent="0.3">
      <c r="H48" s="8" t="s">
        <v>87</v>
      </c>
      <c r="I48" s="8" t="s">
        <v>52</v>
      </c>
      <c r="J48" s="8" t="s">
        <v>45</v>
      </c>
      <c r="K48" s="8">
        <v>43000</v>
      </c>
      <c r="L48" s="8">
        <f t="shared" si="1"/>
        <v>0</v>
      </c>
      <c r="M48" s="1">
        <f t="shared" si="2"/>
        <v>0</v>
      </c>
      <c r="N48" s="1">
        <f t="shared" si="3"/>
        <v>43000</v>
      </c>
    </row>
    <row r="49" spans="8:14" ht="22.8" customHeight="1" x14ac:dyDescent="0.3">
      <c r="H49" s="8" t="s">
        <v>88</v>
      </c>
      <c r="I49" s="8" t="s">
        <v>44</v>
      </c>
      <c r="J49" s="8" t="s">
        <v>50</v>
      </c>
      <c r="K49" s="8">
        <v>31500</v>
      </c>
      <c r="L49" s="8">
        <f t="shared" si="1"/>
        <v>0</v>
      </c>
      <c r="M49" s="1">
        <f t="shared" si="2"/>
        <v>0</v>
      </c>
      <c r="N49" s="1">
        <f t="shared" si="3"/>
        <v>31500</v>
      </c>
    </row>
    <row r="50" spans="8:14" ht="22.8" customHeight="1" x14ac:dyDescent="0.3">
      <c r="H50" s="8" t="s">
        <v>89</v>
      </c>
      <c r="I50" s="8" t="s">
        <v>47</v>
      </c>
      <c r="J50" s="8" t="s">
        <v>48</v>
      </c>
      <c r="K50" s="8">
        <v>25500</v>
      </c>
      <c r="L50" s="8">
        <f t="shared" si="1"/>
        <v>0</v>
      </c>
      <c r="M50" s="1">
        <f t="shared" si="2"/>
        <v>0</v>
      </c>
      <c r="N50" s="1">
        <f t="shared" si="3"/>
        <v>1275</v>
      </c>
    </row>
    <row r="51" spans="8:14" ht="22.8" customHeight="1" x14ac:dyDescent="0.3">
      <c r="H51" s="8" t="s">
        <v>90</v>
      </c>
      <c r="I51" s="8" t="s">
        <v>42</v>
      </c>
      <c r="J51" s="8" t="s">
        <v>45</v>
      </c>
      <c r="K51" s="8">
        <v>60000</v>
      </c>
      <c r="L51" s="8">
        <f t="shared" si="1"/>
        <v>0</v>
      </c>
      <c r="M51" s="1">
        <f t="shared" si="2"/>
        <v>0</v>
      </c>
      <c r="N51" s="1">
        <f t="shared" si="3"/>
        <v>60000</v>
      </c>
    </row>
    <row r="52" spans="8:14" ht="22.8" customHeight="1" x14ac:dyDescent="0.3">
      <c r="H52" s="8" t="s">
        <v>91</v>
      </c>
      <c r="I52" s="8" t="s">
        <v>52</v>
      </c>
      <c r="J52" s="8" t="s">
        <v>43</v>
      </c>
      <c r="K52" s="8">
        <v>47000</v>
      </c>
      <c r="L52" s="8">
        <f t="shared" si="1"/>
        <v>0</v>
      </c>
      <c r="M52" s="1">
        <f t="shared" si="2"/>
        <v>0</v>
      </c>
      <c r="N52" s="1">
        <f t="shared" si="3"/>
        <v>47000</v>
      </c>
    </row>
    <row r="53" spans="8:14" ht="22.8" customHeight="1" x14ac:dyDescent="0.3">
      <c r="H53" s="8" t="s">
        <v>92</v>
      </c>
      <c r="I53" s="8" t="s">
        <v>44</v>
      </c>
      <c r="J53" s="8" t="s">
        <v>50</v>
      </c>
      <c r="K53" s="8">
        <v>36000</v>
      </c>
      <c r="L53" s="8">
        <f t="shared" si="1"/>
        <v>0</v>
      </c>
      <c r="M53" s="1">
        <f t="shared" si="2"/>
        <v>0</v>
      </c>
      <c r="N53" s="1">
        <f t="shared" si="3"/>
        <v>36000</v>
      </c>
    </row>
    <row r="54" spans="8:14" ht="22.8" customHeight="1" x14ac:dyDescent="0.3">
      <c r="H54" s="8" t="s">
        <v>93</v>
      </c>
      <c r="I54" s="8" t="s">
        <v>47</v>
      </c>
      <c r="J54" s="8" t="s">
        <v>48</v>
      </c>
      <c r="K54" s="8">
        <v>41000</v>
      </c>
      <c r="L54" s="8">
        <f t="shared" si="1"/>
        <v>0</v>
      </c>
      <c r="M54" s="1">
        <f t="shared" si="2"/>
        <v>0</v>
      </c>
      <c r="N54" s="1">
        <f t="shared" si="3"/>
        <v>41000</v>
      </c>
    </row>
    <row r="55" spans="8:14" ht="22.8" customHeight="1" x14ac:dyDescent="0.3">
      <c r="H55" s="8" t="s">
        <v>94</v>
      </c>
      <c r="I55" s="8" t="s">
        <v>42</v>
      </c>
      <c r="J55" s="8" t="s">
        <v>43</v>
      </c>
      <c r="K55" s="8">
        <v>53000</v>
      </c>
      <c r="L55" s="8">
        <f t="shared" si="1"/>
        <v>5000</v>
      </c>
      <c r="M55" s="1">
        <f t="shared" si="2"/>
        <v>0</v>
      </c>
      <c r="N55" s="1">
        <f t="shared" si="3"/>
        <v>53000</v>
      </c>
    </row>
    <row r="56" spans="8:14" ht="22.8" customHeight="1" x14ac:dyDescent="0.3">
      <c r="H56" s="8" t="s">
        <v>95</v>
      </c>
      <c r="I56" s="8" t="s">
        <v>52</v>
      </c>
      <c r="J56" s="8" t="s">
        <v>45</v>
      </c>
      <c r="K56" s="8">
        <v>39000</v>
      </c>
      <c r="L56" s="8">
        <f t="shared" si="1"/>
        <v>0</v>
      </c>
      <c r="M56" s="1">
        <f t="shared" si="2"/>
        <v>0</v>
      </c>
      <c r="N56" s="1">
        <f t="shared" si="3"/>
        <v>39000</v>
      </c>
    </row>
  </sheetData>
  <mergeCells count="6">
    <mergeCell ref="O10:Q10"/>
    <mergeCell ref="A1:X2"/>
    <mergeCell ref="A4:F4"/>
    <mergeCell ref="O7:R7"/>
    <mergeCell ref="O8:R8"/>
    <mergeCell ref="O9:Q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B0E36-AE2E-43FD-BD21-AD920766738F}">
  <dimension ref="A1:X11"/>
  <sheetViews>
    <sheetView tabSelected="1" workbookViewId="0">
      <selection activeCell="H18" sqref="H18"/>
    </sheetView>
  </sheetViews>
  <sheetFormatPr defaultRowHeight="14.4" x14ac:dyDescent="0.3"/>
  <cols>
    <col min="2" max="2" width="12.5546875" bestFit="1" customWidth="1"/>
    <col min="3" max="3" width="11.88671875" bestFit="1" customWidth="1"/>
    <col min="11" max="11" width="14.77734375" bestFit="1" customWidth="1"/>
    <col min="13" max="13" width="12.21875" bestFit="1" customWidth="1"/>
  </cols>
  <sheetData>
    <row r="1" spans="1:24" ht="14.4" customHeight="1" x14ac:dyDescent="0.3">
      <c r="A1" s="12" t="s">
        <v>113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ht="14.4" customHeigh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4" spans="1:24" x14ac:dyDescent="0.3">
      <c r="A4" s="7" t="s">
        <v>114</v>
      </c>
      <c r="B4" s="7" t="s">
        <v>103</v>
      </c>
      <c r="C4" s="7" t="s">
        <v>104</v>
      </c>
      <c r="D4" s="7" t="s">
        <v>105</v>
      </c>
      <c r="J4" s="7" t="s">
        <v>114</v>
      </c>
      <c r="K4" s="7" t="s">
        <v>120</v>
      </c>
      <c r="L4" s="7" t="s">
        <v>121</v>
      </c>
      <c r="M4" s="7" t="s">
        <v>105</v>
      </c>
    </row>
    <row r="5" spans="1:24" x14ac:dyDescent="0.3">
      <c r="A5" s="1">
        <v>1</v>
      </c>
      <c r="B5" s="1" t="s">
        <v>106</v>
      </c>
      <c r="C5" s="1" t="s">
        <v>115</v>
      </c>
      <c r="D5" s="1" t="str">
        <f>IF(OR(C5="DELIVERED",C5="CANCELLED"),"CLOSED","OPEN")</f>
        <v>CLOSED</v>
      </c>
      <c r="F5" s="13" t="s">
        <v>118</v>
      </c>
      <c r="G5" s="13"/>
      <c r="H5" s="13"/>
      <c r="J5" s="1">
        <v>1</v>
      </c>
      <c r="K5" s="1" t="s">
        <v>106</v>
      </c>
      <c r="L5" s="15">
        <v>0.47</v>
      </c>
      <c r="M5" s="1" t="str">
        <f>IF(OR(L5&lt;40%,L5="A"),"AGAIN STUDY","SELECTED")</f>
        <v>SELECTED</v>
      </c>
      <c r="O5" s="16" t="s">
        <v>123</v>
      </c>
      <c r="P5" s="16"/>
      <c r="Q5" s="16"/>
      <c r="R5" s="16"/>
      <c r="S5" s="16"/>
      <c r="T5" s="16"/>
      <c r="U5" s="16"/>
      <c r="V5" s="16"/>
    </row>
    <row r="6" spans="1:24" x14ac:dyDescent="0.3">
      <c r="A6" s="1">
        <v>2</v>
      </c>
      <c r="B6" s="1" t="s">
        <v>107</v>
      </c>
      <c r="C6" s="1" t="s">
        <v>116</v>
      </c>
      <c r="D6" s="1" t="str">
        <f t="shared" ref="D6:D11" si="0">IF(OR(C6="DELIVERED",C6="CANCELLED"),"CLOSED","OPEN")</f>
        <v>CLOSED</v>
      </c>
      <c r="F6" s="13" t="s">
        <v>119</v>
      </c>
      <c r="G6" s="13"/>
      <c r="H6" s="13"/>
      <c r="J6" s="1">
        <v>2</v>
      </c>
      <c r="K6" s="1" t="s">
        <v>107</v>
      </c>
      <c r="L6" s="15">
        <v>0.5</v>
      </c>
      <c r="M6" s="1" t="str">
        <f t="shared" ref="M6:M11" si="1">IF(OR(L6&lt;40%,L6="A"),"AGAIN STUDY","SELECTED")</f>
        <v>SELECTED</v>
      </c>
      <c r="O6" s="16"/>
      <c r="P6" s="16"/>
      <c r="Q6" s="16"/>
      <c r="R6" s="16"/>
      <c r="S6" s="16"/>
      <c r="T6" s="16"/>
      <c r="U6" s="16"/>
      <c r="V6" s="16"/>
    </row>
    <row r="7" spans="1:24" x14ac:dyDescent="0.3">
      <c r="A7" s="1">
        <v>3</v>
      </c>
      <c r="B7" s="1" t="s">
        <v>108</v>
      </c>
      <c r="C7" s="1" t="s">
        <v>116</v>
      </c>
      <c r="D7" s="1" t="str">
        <f t="shared" si="0"/>
        <v>CLOSED</v>
      </c>
      <c r="J7" s="1">
        <v>3</v>
      </c>
      <c r="K7" s="1" t="s">
        <v>108</v>
      </c>
      <c r="L7" s="1" t="s">
        <v>122</v>
      </c>
      <c r="M7" s="1" t="str">
        <f t="shared" si="1"/>
        <v>AGAIN STUDY</v>
      </c>
      <c r="O7" s="16"/>
      <c r="P7" s="16"/>
      <c r="Q7" s="16"/>
      <c r="R7" s="16"/>
      <c r="S7" s="16"/>
      <c r="T7" s="16"/>
      <c r="U7" s="16"/>
      <c r="V7" s="16"/>
    </row>
    <row r="8" spans="1:24" x14ac:dyDescent="0.3">
      <c r="A8" s="1">
        <v>4</v>
      </c>
      <c r="B8" s="1" t="s">
        <v>109</v>
      </c>
      <c r="C8" s="1" t="s">
        <v>117</v>
      </c>
      <c r="D8" s="1" t="str">
        <f t="shared" si="0"/>
        <v>OPEN</v>
      </c>
      <c r="J8" s="1">
        <v>4</v>
      </c>
      <c r="K8" s="1" t="s">
        <v>109</v>
      </c>
      <c r="L8" s="15">
        <v>0.32</v>
      </c>
      <c r="M8" s="1" t="str">
        <f t="shared" si="1"/>
        <v>AGAIN STUDY</v>
      </c>
      <c r="O8" s="16"/>
      <c r="P8" s="16"/>
      <c r="Q8" s="16"/>
      <c r="R8" s="16"/>
      <c r="S8" s="16"/>
      <c r="T8" s="16"/>
      <c r="U8" s="16"/>
      <c r="V8" s="16"/>
    </row>
    <row r="9" spans="1:24" x14ac:dyDescent="0.3">
      <c r="A9" s="1">
        <v>5</v>
      </c>
      <c r="B9" s="1" t="s">
        <v>110</v>
      </c>
      <c r="C9" s="1" t="s">
        <v>115</v>
      </c>
      <c r="D9" s="1" t="str">
        <f t="shared" si="0"/>
        <v>CLOSED</v>
      </c>
      <c r="J9" s="1">
        <v>5</v>
      </c>
      <c r="K9" s="1" t="s">
        <v>110</v>
      </c>
      <c r="L9" s="1" t="s">
        <v>122</v>
      </c>
      <c r="M9" s="1" t="str">
        <f t="shared" si="1"/>
        <v>AGAIN STUDY</v>
      </c>
    </row>
    <row r="10" spans="1:24" x14ac:dyDescent="0.3">
      <c r="A10" s="1">
        <v>6</v>
      </c>
      <c r="B10" s="1" t="s">
        <v>111</v>
      </c>
      <c r="C10" s="1" t="s">
        <v>117</v>
      </c>
      <c r="D10" s="1" t="str">
        <f t="shared" si="0"/>
        <v>OPEN</v>
      </c>
      <c r="H10" s="14"/>
      <c r="J10" s="1">
        <v>6</v>
      </c>
      <c r="K10" s="1" t="s">
        <v>111</v>
      </c>
      <c r="L10" s="15">
        <v>0.39</v>
      </c>
      <c r="M10" s="1" t="str">
        <f t="shared" si="1"/>
        <v>AGAIN STUDY</v>
      </c>
    </row>
    <row r="11" spans="1:24" x14ac:dyDescent="0.3">
      <c r="A11" s="1">
        <v>7</v>
      </c>
      <c r="B11" s="1" t="s">
        <v>112</v>
      </c>
      <c r="C11" s="1" t="s">
        <v>116</v>
      </c>
      <c r="D11" s="1" t="str">
        <f t="shared" si="0"/>
        <v>CLOSED</v>
      </c>
      <c r="J11" s="1">
        <v>7</v>
      </c>
      <c r="K11" s="1" t="s">
        <v>112</v>
      </c>
      <c r="L11" s="1">
        <v>60</v>
      </c>
      <c r="M11" s="1" t="str">
        <f t="shared" si="1"/>
        <v>SELECTED</v>
      </c>
    </row>
  </sheetData>
  <mergeCells count="4">
    <mergeCell ref="O5:V8"/>
    <mergeCell ref="A1:X2"/>
    <mergeCell ref="F5:H5"/>
    <mergeCell ref="F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If</vt:lpstr>
      <vt:lpstr>IF+AND</vt:lpstr>
      <vt:lpstr>IF+OR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Kumar Jaiswal</dc:creator>
  <cp:lastModifiedBy>Rahul Kumar Jaiswal</cp:lastModifiedBy>
  <dcterms:created xsi:type="dcterms:W3CDTF">2026-02-20T01:25:16Z</dcterms:created>
  <dcterms:modified xsi:type="dcterms:W3CDTF">2026-02-20T16:25:04Z</dcterms:modified>
</cp:coreProperties>
</file>